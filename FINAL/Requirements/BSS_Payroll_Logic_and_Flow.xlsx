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hankarkumar/Desktop/"/>
    </mc:Choice>
  </mc:AlternateContent>
  <xr:revisionPtr revIDLastSave="0" documentId="8_{F381115E-97DD-194C-906C-B48ABFBA6321}" xr6:coauthVersionLast="47" xr6:coauthVersionMax="47" xr10:uidLastSave="{00000000-0000-0000-0000-000000000000}"/>
  <bookViews>
    <workbookView xWindow="4180" yWindow="500" windowWidth="29420" windowHeight="19180" activeTab="8" xr2:uid="{00000000-000D-0000-FFFF-FFFF00000000}"/>
  </bookViews>
  <sheets>
    <sheet name="Payroll Flow" sheetId="1" r:id="rId1"/>
    <sheet name="Labour Code Compliance" sheetId="2" r:id="rId2"/>
    <sheet name="Payroll Logic" sheetId="3" r:id="rId3"/>
    <sheet name="Rule Master" sheetId="4" r:id="rId4"/>
    <sheet name="Attendance Input" sheetId="5" r:id="rId5"/>
    <sheet name="Worker Master" sheetId="6" r:id="rId6"/>
    <sheet name="Component Matrix" sheetId="13" r:id="rId7"/>
    <sheet name="Statutory Calculations" sheetId="14" r:id="rId8"/>
    <sheet name="Rules Explained" sheetId="15" r:id="rId9"/>
    <sheet name="Payroll Register" sheetId="7" r:id="rId10"/>
    <sheet name="Approval Matrix" sheetId="8" r:id="rId11"/>
    <sheet name="Exception Rules" sheetId="9" r:id="rId12"/>
    <sheet name="Payroll Dashboard" sheetId="10" r:id="rId13"/>
    <sheet name="Data &amp; API Mapping" sheetId="11" r:id="rId14"/>
    <sheet name="Implementation Notes" sheetId="12" r:id="rId15"/>
  </sheets>
  <definedNames>
    <definedName name="_xlnm._FilterDatabase" localSheetId="1" hidden="1">'Labour Code Compliance'!$A$4:$J$17</definedName>
    <definedName name="_xlnm._FilterDatabase" localSheetId="0" hidden="1">'Payroll Flow'!$A$4:$H$18</definedName>
    <definedName name="_xlnm._FilterDatabase" localSheetId="2" hidden="1">'Payroll Logic'!$A$4:$F$19</definedName>
    <definedName name="_xlnm._FilterDatabase" localSheetId="9" hidden="1">'Payroll Register'!$A$4:$AA$7</definedName>
  </definedNames>
  <calcPr calcId="191029" iterate="1"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9" i="10" l="1"/>
  <c r="J9" i="7"/>
  <c r="AC7" i="7"/>
  <c r="Z7" i="7"/>
  <c r="Z9" i="7" s="1"/>
  <c r="U7" i="7"/>
  <c r="T7" i="7"/>
  <c r="S7" i="7"/>
  <c r="R7" i="7"/>
  <c r="R9" i="7" s="1"/>
  <c r="M7" i="7"/>
  <c r="N7" i="7" s="1"/>
  <c r="L7" i="7"/>
  <c r="K7" i="7"/>
  <c r="J7" i="7"/>
  <c r="H7" i="7"/>
  <c r="F7" i="7"/>
  <c r="G7" i="7" s="1"/>
  <c r="E7" i="7"/>
  <c r="D7" i="7"/>
  <c r="C7" i="7"/>
  <c r="B7" i="7"/>
  <c r="A7" i="7"/>
  <c r="AC6" i="7"/>
  <c r="Z6" i="7"/>
  <c r="U6" i="7"/>
  <c r="T6" i="7"/>
  <c r="S6" i="7"/>
  <c r="R6" i="7"/>
  <c r="M6" i="7"/>
  <c r="L6" i="7"/>
  <c r="K6" i="7"/>
  <c r="J6" i="7"/>
  <c r="H6" i="7"/>
  <c r="N6" i="7" s="1"/>
  <c r="F6" i="7"/>
  <c r="G6" i="7" s="1"/>
  <c r="E6" i="7"/>
  <c r="D6" i="7"/>
  <c r="C6" i="7"/>
  <c r="B6" i="7"/>
  <c r="A6" i="7"/>
  <c r="AC5" i="7"/>
  <c r="Z5" i="7"/>
  <c r="U5" i="7"/>
  <c r="U9" i="7" s="1"/>
  <c r="T5" i="7"/>
  <c r="T9" i="7" s="1"/>
  <c r="S5" i="7"/>
  <c r="S9" i="7" s="1"/>
  <c r="R5" i="7"/>
  <c r="M5" i="7"/>
  <c r="B8" i="10" s="1"/>
  <c r="L5" i="7"/>
  <c r="L9" i="7" s="1"/>
  <c r="K5" i="7"/>
  <c r="K9" i="7" s="1"/>
  <c r="J5" i="7"/>
  <c r="H5" i="7"/>
  <c r="H9" i="7" s="1"/>
  <c r="F5" i="7"/>
  <c r="G5" i="7" s="1"/>
  <c r="E5" i="7"/>
  <c r="D5" i="7"/>
  <c r="C5" i="7"/>
  <c r="B5" i="7"/>
  <c r="A5" i="7"/>
  <c r="B3" i="10" s="1"/>
  <c r="I7" i="7" l="1"/>
  <c r="G9" i="7"/>
  <c r="I5" i="7"/>
  <c r="N5" i="7"/>
  <c r="N9" i="7" s="1"/>
  <c r="M9" i="7"/>
  <c r="I6" i="7"/>
  <c r="I9" i="7" l="1"/>
  <c r="O5" i="7"/>
  <c r="X5" i="7"/>
  <c r="P5" i="7"/>
  <c r="O6" i="7"/>
  <c r="P6" i="7"/>
  <c r="X6" i="7"/>
  <c r="X7" i="7"/>
  <c r="P7" i="7"/>
  <c r="O7" i="7"/>
  <c r="P9" i="7" l="1"/>
  <c r="AB6" i="7"/>
  <c r="AD6" i="7" s="1"/>
  <c r="Y6" i="7"/>
  <c r="AA6" i="7" s="1"/>
  <c r="Q6" i="7"/>
  <c r="V6" i="7" s="1"/>
  <c r="W6" i="7" s="1"/>
  <c r="Y7" i="7"/>
  <c r="AA7" i="7" s="1"/>
  <c r="Q7" i="7"/>
  <c r="AB7" i="7"/>
  <c r="AD7" i="7" s="1"/>
  <c r="AB5" i="7"/>
  <c r="AD5" i="7" s="1"/>
  <c r="O9" i="7"/>
  <c r="Y5" i="7"/>
  <c r="Y9" i="7" s="1"/>
  <c r="Q5" i="7"/>
  <c r="B4" i="10"/>
  <c r="X9" i="7"/>
  <c r="V7" i="7"/>
  <c r="W7" i="7" s="1"/>
  <c r="Q9" i="7" l="1"/>
  <c r="V5" i="7"/>
  <c r="AA5" i="7"/>
  <c r="B7" i="10" l="1"/>
  <c r="AA9" i="7"/>
  <c r="B5" i="10"/>
  <c r="V9" i="7"/>
  <c r="W5" i="7"/>
  <c r="B6" i="10" l="1"/>
  <c r="W9" i="7"/>
</calcChain>
</file>

<file path=xl/sharedStrings.xml><?xml version="1.0" encoding="utf-8"?>
<sst xmlns="http://schemas.openxmlformats.org/spreadsheetml/2006/main" count="1234" uniqueCount="759">
  <si>
    <t>Bharat Shram Setu — Payroll Logic &amp; Process Flow</t>
  </si>
  <si>
    <t>Purpose</t>
  </si>
  <si>
    <t>Configurable payroll engine for contractor workforce: attendance → wage calculation → statutory deductions → net pay → approvals → payslip → compliance.</t>
  </si>
  <si>
    <t>Step</t>
  </si>
  <si>
    <t>Process</t>
  </si>
  <si>
    <t>Input</t>
  </si>
  <si>
    <t>Core Logic / Validation</t>
  </si>
  <si>
    <t>Output</t>
  </si>
  <si>
    <t>Primary Role</t>
  </si>
  <si>
    <t>Exception / Hold</t>
  </si>
  <si>
    <t>Next Step</t>
  </si>
  <si>
    <t>Payroll Period Open</t>
  </si>
  <si>
    <t>Month + site + contractor</t>
  </si>
  <si>
    <t>Period must be open; worker must be active and assigned to site/contractor.</t>
  </si>
  <si>
    <t>Payroll batch</t>
  </si>
  <si>
    <t>Payroll Admin</t>
  </si>
  <si>
    <t>Duplicate/closed period</t>
  </si>
  <si>
    <t>2</t>
  </si>
  <si>
    <t>Freeze Attendance</t>
  </si>
  <si>
    <t>Daily attendance + OT</t>
  </si>
  <si>
    <t>Only approved attendance is payroll-eligible; unresolved attendance goes to exception queue.</t>
  </si>
  <si>
    <t>Final attendance</t>
  </si>
  <si>
    <t>Contractor + Employer</t>
  </si>
  <si>
    <t>Attendance mismatch</t>
  </si>
  <si>
    <t>3</t>
  </si>
  <si>
    <t>Worker Eligibility</t>
  </si>
  <si>
    <t>Worker master + employment dates</t>
  </si>
  <si>
    <t>Check active status, joining/exit date, site, contractor, wage category and bank/KYC status.</t>
  </si>
  <si>
    <t>Eligible worker list</t>
  </si>
  <si>
    <t>Payroll Engine</t>
  </si>
  <si>
    <t>Missing master data</t>
  </si>
  <si>
    <t>4</t>
  </si>
  <si>
    <t>Wage Calculation</t>
  </si>
  <si>
    <t>Wage master + payable days/hours</t>
  </si>
  <si>
    <t>Calculate basic wage, allowances, OT, incentives and other earnings using configured rules.</t>
  </si>
  <si>
    <t>Gross earnings</t>
  </si>
  <si>
    <t>Missing wage rule</t>
  </si>
  <si>
    <t>5</t>
  </si>
  <si>
    <t>Statutory Calculation</t>
  </si>
  <si>
    <t>Gross/basic + worker attributes</t>
  </si>
  <si>
    <t>Apply configured PF/ESI/PT/LWF/TDS and other applicable deductions; cap/exemption rules are parameterized.</t>
  </si>
  <si>
    <t>Statutory deductions</t>
  </si>
  <si>
    <t>Rule missing / threshold exception</t>
  </si>
  <si>
    <t>6</t>
  </si>
  <si>
    <t>Other Deductions</t>
  </si>
  <si>
    <t>Advances, loans, recoveries</t>
  </si>
  <si>
    <t>Deduct only approved items with effective dates and outstanding balance.</t>
  </si>
  <si>
    <t>Total deductions</t>
  </si>
  <si>
    <t>Unapproved recovery</t>
  </si>
  <si>
    <t>7</t>
  </si>
  <si>
    <t>Net Pay</t>
  </si>
  <si>
    <t>Gross + all deductions</t>
  </si>
  <si>
    <t>Net Pay = Gross Earnings − Total Deductions. Prevent negative net pay unless override is approved.</t>
  </si>
  <si>
    <t>Net salary</t>
  </si>
  <si>
    <t>Negative/zero net pay</t>
  </si>
  <si>
    <t>8</t>
  </si>
  <si>
    <t>Payroll Validation</t>
  </si>
  <si>
    <t>Payroll register</t>
  </si>
  <si>
    <t>Validate totals, duplicate bank accounts, missing KYC, abnormal variance, statutory totals and attendance variance.</t>
  </si>
  <si>
    <t>Validated payroll</t>
  </si>
  <si>
    <t>Payroll/Compliance</t>
  </si>
  <si>
    <t>Validation failure</t>
  </si>
  <si>
    <t>9</t>
  </si>
  <si>
    <t>Contractor Review</t>
  </si>
  <si>
    <t>Contractor confirms worker-level payroll and invoice/cost sheet alignment.</t>
  </si>
  <si>
    <t>Contractor-approved payroll</t>
  </si>
  <si>
    <t>Contractor</t>
  </si>
  <si>
    <t>Dispute</t>
  </si>
  <si>
    <t>10</t>
  </si>
  <si>
    <t>Principal Employer Approval</t>
  </si>
  <si>
    <t>Payroll + cost summary</t>
  </si>
  <si>
    <t>Employer approves payroll, statutory amounts and contractor billable value.</t>
  </si>
  <si>
    <t>Approved payroll</t>
  </si>
  <si>
    <t>Principal Employer</t>
  </si>
  <si>
    <t>Approval pending/rejected</t>
  </si>
  <si>
    <t>11</t>
  </si>
  <si>
    <t>Payment File / Bank</t>
  </si>
  <si>
    <t>Approved net pay</t>
  </si>
  <si>
    <t>Generate bank payment file or payment instruction; maintain transaction reference/status.</t>
  </si>
  <si>
    <t>Payment batch</t>
  </si>
  <si>
    <t>Finance</t>
  </si>
  <si>
    <t>Bank rejection</t>
  </si>
  <si>
    <t>12</t>
  </si>
  <si>
    <t>Payslip &amp; Registers</t>
  </si>
  <si>
    <t>Final payroll</t>
  </si>
  <si>
    <t>Generate payslips, wage register, deduction register and payment register.</t>
  </si>
  <si>
    <t>Employee documents</t>
  </si>
  <si>
    <t>Payroll</t>
  </si>
  <si>
    <t>Generation error</t>
  </si>
  <si>
    <t>13</t>
  </si>
  <si>
    <t>Compliance Submission</t>
  </si>
  <si>
    <t>Registers + challan/payment evidence</t>
  </si>
  <si>
    <t>Auto-package applicable compliance documents and submission evidence.</t>
  </si>
  <si>
    <t>Compliance pack</t>
  </si>
  <si>
    <t>Compliance Officer</t>
  </si>
  <si>
    <t>Missing evidence</t>
  </si>
  <si>
    <t>14</t>
  </si>
  <si>
    <t>Close Payroll</t>
  </si>
  <si>
    <t>All approvals + payment status</t>
  </si>
  <si>
    <t>Close only when mandatory checks and approvals are complete; retain audit trail.</t>
  </si>
  <si>
    <t>Closed payroll period</t>
  </si>
  <si>
    <t>Open exception</t>
  </si>
  <si>
    <t>End</t>
  </si>
  <si>
    <t>BSS Payroll — New Labour Code Compliance Control Matrix</t>
  </si>
  <si>
    <t>Control ID</t>
  </si>
  <si>
    <t>Labour Code Area</t>
  </si>
  <si>
    <t>Payroll Requirement</t>
  </si>
  <si>
    <t>System Logic</t>
  </si>
  <si>
    <t>Data Required</t>
  </si>
  <si>
    <t>Validation / Hold</t>
  </si>
  <si>
    <t>Evidence / Audit Trail</t>
  </si>
  <si>
    <t>Owner</t>
  </si>
  <si>
    <t>Frequency</t>
  </si>
  <si>
    <t>Status</t>
  </si>
  <si>
    <t>LC-001</t>
  </si>
  <si>
    <t>Four Labour Codes</t>
  </si>
  <si>
    <t>Payroll must use the four-code framework effective 21-Nov-2025</t>
  </si>
  <si>
    <t>Payroll rule engine must use Code-based definitions and effective-dated rules</t>
  </si>
  <si>
    <t>Code/rule version + effective date</t>
  </si>
  <si>
    <t>Block if rule version missing</t>
  </si>
  <si>
    <t>Rule version + calculation snapshot</t>
  </si>
  <si>
    <t>Every payroll</t>
  </si>
  <si>
    <t>Configured</t>
  </si>
  <si>
    <t>LC-002</t>
  </si>
  <si>
    <t>Code on Wages — Definition of Wages</t>
  </si>
  <si>
    <t>Apply the 50% allowance rule when applicable</t>
  </si>
  <si>
    <t>Calculate remuneration base; compare specified allowances/benefits with 50% threshold; excess is added back to wages</t>
  </si>
  <si>
    <t>Earnings components + exclusions</t>
  </si>
  <si>
    <t>Flag/hold if wage-base calculation fails</t>
  </si>
  <si>
    <t>Wage reconciliation report</t>
  </si>
  <si>
    <t>LC-003</t>
  </si>
  <si>
    <t>Code on Wages — OT</t>
  </si>
  <si>
    <t>OT payment participates in the 50% remuneration calculation</t>
  </si>
  <si>
    <t>Include overtime allowance in the remuneration calculation as required by current MoLE FAQ</t>
  </si>
  <si>
    <t>OT hours + OT amount</t>
  </si>
  <si>
    <t>Recalculate wage base if OT changes</t>
  </si>
  <si>
    <t>OT calculation log</t>
  </si>
  <si>
    <t>LC-004</t>
  </si>
  <si>
    <t>Code on Wages — Minimum Wages</t>
  </si>
  <si>
    <t>Pay must not fall below applicable minimum wage/floor wage requirements</t>
  </si>
  <si>
    <t>Lookup effective minimum wage by appropriate government, state/UT, employment/category and period</t>
  </si>
  <si>
    <t>State + employment/category + wage notification</t>
  </si>
  <si>
    <t>Hold worker if configured minimum wage test fails</t>
  </si>
  <si>
    <t>Minimum wage comparison</t>
  </si>
  <si>
    <t>LC-005</t>
  </si>
  <si>
    <t>Code on Wages — Timely Payment</t>
  </si>
  <si>
    <t>Payroll calendar and wage payment deadline must be controlled</t>
  </si>
  <si>
    <t>Generate due date from wage period and applicable rule; alert overdue payments</t>
  </si>
  <si>
    <t>Wage period + payment date</t>
  </si>
  <si>
    <t>Escalate overdue payment</t>
  </si>
  <si>
    <t>Payment timestamp + bank reference</t>
  </si>
  <si>
    <t>LC-006</t>
  </si>
  <si>
    <t>Social Security — PF</t>
  </si>
  <si>
    <t>PF treatment must use applicable Social Security Code/rules and current notified parameters</t>
  </si>
  <si>
    <t>Determine applicability, wage basis, ceiling/rates and effective date from rule master</t>
  </si>
  <si>
    <t>Worker profile + wage base + rule version</t>
  </si>
  <si>
    <t>Hold if applicability/rule missing</t>
  </si>
  <si>
    <t>PF working + rule version</t>
  </si>
  <si>
    <t>LC-007</t>
  </si>
  <si>
    <t>Social Security — ESI</t>
  </si>
  <si>
    <t>ESI applicability and contribution must be rule-driven</t>
  </si>
  <si>
    <t>Use current notified eligibility, wage threshold, rate and coverage rules</t>
  </si>
  <si>
    <t>Worker + wage + establishment/site</t>
  </si>
  <si>
    <t>Hold if applicability cannot be determined</t>
  </si>
  <si>
    <t>ESI working + rule version</t>
  </si>
  <si>
    <t>LC-008</t>
  </si>
  <si>
    <t>Social Security — Gratuity</t>
  </si>
  <si>
    <t>Gratuity must be provisioned/calculated under the Code from its enforcement date</t>
  </si>
  <si>
    <t>Maintain gratuity eligibility/service data and statutory wage base separately from monthly net pay</t>
  </si>
  <si>
    <t>Join/exit dates + wage definition</t>
  </si>
  <si>
    <t>Flag service/wage anomalies</t>
  </si>
  <si>
    <t>Gratuity provision/working</t>
  </si>
  <si>
    <t>HR/Finance</t>
  </si>
  <si>
    <t>Monthly/Exit</t>
  </si>
  <si>
    <t>LC-009</t>
  </si>
  <si>
    <t>Social Security — Gig/Platform</t>
  </si>
  <si>
    <t>Worker classification must support gig/platform/unorganised categories where applicable</t>
  </si>
  <si>
    <t>Store worker category and applicable social-security scheme separately from employee payroll rules</t>
  </si>
  <si>
    <t>Worker category + scheme</t>
  </si>
  <si>
    <t>Route to appropriate scheme workflow</t>
  </si>
  <si>
    <t>Scheme eligibility record</t>
  </si>
  <si>
    <t>Compliance</t>
  </si>
  <si>
    <t>As applicable</t>
  </si>
  <si>
    <t>LC-010</t>
  </si>
  <si>
    <t>OSH &amp; WC — Inter-State Migrant</t>
  </si>
  <si>
    <t>Payroll/workforce data should retain migrant-worker indicators where applicable</t>
  </si>
  <si>
    <t>Maintain origin/state, destination/site and contractor mapping; link applicable statutory benefits</t>
  </si>
  <si>
    <t>Worker migration/site data</t>
  </si>
  <si>
    <t>Flag missing mandatory data</t>
  </si>
  <si>
    <t>Migrant worker register</t>
  </si>
  <si>
    <t>HR/Compliance</t>
  </si>
  <si>
    <t>Monthly</t>
  </si>
  <si>
    <t>LC-011</t>
  </si>
  <si>
    <t>OSH &amp; WC — Contractor Workforce</t>
  </si>
  <si>
    <t>Contractor workers must remain traceable to principal employer/site/contractor</t>
  </si>
  <si>
    <t>Use BSS Worker ID + Contractor ID + Principal Employer ID + Site ID throughout payroll</t>
  </si>
  <si>
    <t>Worker/site/contractor mapping</t>
  </si>
  <si>
    <t>Block payroll if assignment is invalid</t>
  </si>
  <si>
    <t>Assignment history</t>
  </si>
  <si>
    <t>BSS/Payroll</t>
  </si>
  <si>
    <t>LC-012</t>
  </si>
  <si>
    <t>Audit Trail</t>
  </si>
  <si>
    <t>Every payroll result must be reproducible</t>
  </si>
  <si>
    <t>Store input snapshot, rule version, formula/result, maker/checker, timestamp and approval status</t>
  </si>
  <si>
    <t>All payroll inputs/actions</t>
  </si>
  <si>
    <t>No silent edits after approval</t>
  </si>
  <si>
    <t>Immutable payroll audit log</t>
  </si>
  <si>
    <t>System</t>
  </si>
  <si>
    <t>Every transaction</t>
  </si>
  <si>
    <t>LC-013</t>
  </si>
  <si>
    <t>State Rules</t>
  </si>
  <si>
    <t>State/UT rules must be separately configurable</t>
  </si>
  <si>
    <t>Do not hard-code state PT/LWF/minimum wage/other applicable rules; use effective-dated state master</t>
  </si>
  <si>
    <t>State + notification/rule</t>
  </si>
  <si>
    <t>Hold if state rule unavailable</t>
  </si>
  <si>
    <t>State rule register</t>
  </si>
  <si>
    <t>LC-014</t>
  </si>
  <si>
    <t>Rule Change Governance</t>
  </si>
  <si>
    <t>New notifications must be version-controlled before payroll use</t>
  </si>
  <si>
    <t>Maker creates rule → compliance reviews → authorized approver activates</t>
  </si>
  <si>
    <t>Notification + source + effective date</t>
  </si>
  <si>
    <t>Prevent activation without approval</t>
  </si>
  <si>
    <t>Rule approval log</t>
  </si>
  <si>
    <t>On rule change</t>
  </si>
  <si>
    <t>Payroll Calculation Logic Matrix</t>
  </si>
  <si>
    <t>Component</t>
  </si>
  <si>
    <t>Code-aware formula / logic</t>
  </si>
  <si>
    <t>Basis</t>
  </si>
  <si>
    <t>Configurable?</t>
  </si>
  <si>
    <t>Validation</t>
  </si>
  <si>
    <t>Eligible Days</t>
  </si>
  <si>
    <t>MIN(calendar/eligible days, approved payable days)</t>
  </si>
  <si>
    <t>Attendance + employment dates</t>
  </si>
  <si>
    <t>Yes</t>
  </si>
  <si>
    <t>Cannot exceed eligible period</t>
  </si>
  <si>
    <t>Payable Days</t>
  </si>
  <si>
    <t>Basic + DA</t>
  </si>
  <si>
    <t>Configured wage structure</t>
  </si>
  <si>
    <t>Wage Master</t>
  </si>
  <si>
    <t>Must satisfy applicable minimum wage framework</t>
  </si>
  <si>
    <t>Basic/DA</t>
  </si>
  <si>
    <t>Other Allowances</t>
  </si>
  <si>
    <t>Configured fixed/% components</t>
  </si>
  <si>
    <t>Allowance Master</t>
  </si>
  <si>
    <t>Each component tagged as included/excluded for wage-definition test</t>
  </si>
  <si>
    <t>Allowances</t>
  </si>
  <si>
    <t>OT Earnings</t>
  </si>
  <si>
    <t>Approved OT hours × applicable OT rate</t>
  </si>
  <si>
    <t>Attendance + wage rule</t>
  </si>
  <si>
    <t>OT approval + applicable overtime rule</t>
  </si>
  <si>
    <t>OT</t>
  </si>
  <si>
    <t>Total Remuneration</t>
  </si>
  <si>
    <t>SUM(all remuneration components included by the Code/rules)</t>
  </si>
  <si>
    <t>Earnings</t>
  </si>
  <si>
    <t>Must reconcile to payroll components</t>
  </si>
  <si>
    <t>Remuneration</t>
  </si>
  <si>
    <t>50% Wage Test</t>
  </si>
  <si>
    <t>Compare specified allowances/benefits with 50% of remuneration; excess is added back to wages where applicable</t>
  </si>
  <si>
    <t>Code on Wages + MoLE FAQ</t>
  </si>
  <si>
    <t>Recalculate when OT/allowances change</t>
  </si>
  <si>
    <t>Code Wage Base</t>
  </si>
  <si>
    <t>Statutory PF Wage</t>
  </si>
  <si>
    <t>Apply current PF rule to the applicable Code wage base, subject to current notified applicability/ceiling</t>
  </si>
  <si>
    <t>Social Security Code + rules</t>
  </si>
  <si>
    <t>Rule version/effective date required</t>
  </si>
  <si>
    <t>PF Wage</t>
  </si>
  <si>
    <t>Statutory ESI Wage</t>
  </si>
  <si>
    <t>Apply current ESI rule to applicable wage base and coverage</t>
  </si>
  <si>
    <t>Coverage/threshold/rate validation</t>
  </si>
  <si>
    <t>ESI Wage</t>
  </si>
  <si>
    <t>Employee PF</t>
  </si>
  <si>
    <t>PF Wage × configured employee rate</t>
  </si>
  <si>
    <t>Statutory rule master</t>
  </si>
  <si>
    <t>Applicability + rate + ceiling</t>
  </si>
  <si>
    <t>Employee ESI</t>
  </si>
  <si>
    <t>ESI Wage × configured employee rate</t>
  </si>
  <si>
    <t>Applicability + threshold + rate</t>
  </si>
  <si>
    <t>PT / LWF / TDS</t>
  </si>
  <si>
    <t>State/tax-rule lookup by effective date</t>
  </si>
  <si>
    <t>State/tax masters</t>
  </si>
  <si>
    <t>Never hard-code state rules</t>
  </si>
  <si>
    <t>Total Deductions</t>
  </si>
  <si>
    <t>SUM(all employee deductions)</t>
  </si>
  <si>
    <t>No</t>
  </si>
  <si>
    <t>No duplicate deduction</t>
  </si>
  <si>
    <t>Gross/Remuneration payable − Total Deductions</t>
  </si>
  <si>
    <t>Net pay exception control</t>
  </si>
  <si>
    <t>Employer PF / ESI / other</t>
  </si>
  <si>
    <t>Apply current notified employer contribution rules</t>
  </si>
  <si>
    <t>Reconcile to rule version</t>
  </si>
  <si>
    <t>Employer Contributions</t>
  </si>
  <si>
    <t>Gratuity Provision</t>
  </si>
  <si>
    <t>Maintain statutory gratuity calculation/provision separately from monthly net pay, using Code-defined wage/service rules</t>
  </si>
  <si>
    <t>Social Security Code</t>
  </si>
  <si>
    <t>Service dates + wage definition</t>
  </si>
  <si>
    <t>Employer Cost</t>
  </si>
  <si>
    <t>Payroll earnings + employer statutory contributions + configured employer costs</t>
  </si>
  <si>
    <t>Payroll + cost sheet</t>
  </si>
  <si>
    <t>Reconcile to contractor cost/invoice</t>
  </si>
  <si>
    <t>Payroll Rule Master — Configuration Layer</t>
  </si>
  <si>
    <t>Rule ID</t>
  </si>
  <si>
    <t>State/UT</t>
  </si>
  <si>
    <t>Worker Category</t>
  </si>
  <si>
    <t>Code Wage Treatment</t>
  </si>
  <si>
    <t>Rate / Amount</t>
  </si>
  <si>
    <t>Ceiling</t>
  </si>
  <si>
    <t>Effective From</t>
  </si>
  <si>
    <t>Effective To</t>
  </si>
  <si>
    <t>Source / Notification</t>
  </si>
  <si>
    <t>Approved By</t>
  </si>
  <si>
    <t>Active</t>
  </si>
  <si>
    <t>WAGE-001</t>
  </si>
  <si>
    <t>All India</t>
  </si>
  <si>
    <t>All</t>
  </si>
  <si>
    <t>Included in wages</t>
  </si>
  <si>
    <t>Wage structure</t>
  </si>
  <si>
    <t>2025-11-21</t>
  </si>
  <si>
    <t>Code on Wages / applicable rules</t>
  </si>
  <si>
    <t>Y</t>
  </si>
  <si>
    <t>WAGE-002</t>
  </si>
  <si>
    <t>Specified Allowances</t>
  </si>
  <si>
    <t>50% test</t>
  </si>
  <si>
    <t>MoLE FAQ / Code on Wages</t>
  </si>
  <si>
    <t>OT-001</t>
  </si>
  <si>
    <t>Overtime</t>
  </si>
  <si>
    <t>Included in 50% remuneration calculation</t>
  </si>
  <si>
    <t>OT hours × OT rate</t>
  </si>
  <si>
    <t>MoLE Additional FAQ 16-03-2026</t>
  </si>
  <si>
    <t>PF-001</t>
  </si>
  <si>
    <t>Eligible</t>
  </si>
  <si>
    <t>Statutory wage basis</t>
  </si>
  <si>
    <t>Configured current rate</t>
  </si>
  <si>
    <t>Social Security Code/rules</t>
  </si>
  <si>
    <t>PF-002</t>
  </si>
  <si>
    <t>Employer PF</t>
  </si>
  <si>
    <t>ESI-001</t>
  </si>
  <si>
    <t>ESI-002</t>
  </si>
  <si>
    <t>Employer ESI</t>
  </si>
  <si>
    <t>GRAT-001</t>
  </si>
  <si>
    <t>Gratuity</t>
  </si>
  <si>
    <t>Code-defined wage basis</t>
  </si>
  <si>
    <t>Provision/calculation rule</t>
  </si>
  <si>
    <t>MINWAGE-001</t>
  </si>
  <si>
    <t>Applicable</t>
  </si>
  <si>
    <t>Minimum Wage</t>
  </si>
  <si>
    <t>Must meet applicable minimum wage</t>
  </si>
  <si>
    <t>State/category lookup</t>
  </si>
  <si>
    <t>Appropriate Government notification</t>
  </si>
  <si>
    <t>Attendance Input — Payroll Eligibility Layer</t>
  </si>
  <si>
    <t>Worker ID</t>
  </si>
  <si>
    <t>Worker Name</t>
  </si>
  <si>
    <t>Site</t>
  </si>
  <si>
    <t>Period</t>
  </si>
  <si>
    <t>Calendar Days</t>
  </si>
  <si>
    <t>Present Days</t>
  </si>
  <si>
    <t>Paid Leave</t>
  </si>
  <si>
    <t>Paid Holiday</t>
  </si>
  <si>
    <t>OT Hours</t>
  </si>
  <si>
    <t>Attendance Status</t>
  </si>
  <si>
    <t>Employer Approval</t>
  </si>
  <si>
    <t>BSSW0001</t>
  </si>
  <si>
    <t>Sample Worker 1</t>
  </si>
  <si>
    <t>ABC Facilities</t>
  </si>
  <si>
    <t>Site A</t>
  </si>
  <si>
    <t>Sep-2026</t>
  </si>
  <si>
    <t>Finalized</t>
  </si>
  <si>
    <t>Approved</t>
  </si>
  <si>
    <t>BSSW0002</t>
  </si>
  <si>
    <t>Sample Worker 2</t>
  </si>
  <si>
    <t>BSSW0003</t>
  </si>
  <si>
    <t>Sample Worker 3</t>
  </si>
  <si>
    <t>XYZ Services</t>
  </si>
  <si>
    <t>Site B</t>
  </si>
  <si>
    <t>Exception</t>
  </si>
  <si>
    <t>Pending</t>
  </si>
  <si>
    <t>Worker Master — Payroll Identity &amp; Eligibility</t>
  </si>
  <si>
    <t>Category</t>
  </si>
  <si>
    <t>State</t>
  </si>
  <si>
    <t>Join Date</t>
  </si>
  <si>
    <t>Exit Date</t>
  </si>
  <si>
    <t>Monthly Wage</t>
  </si>
  <si>
    <t>Basic %</t>
  </si>
  <si>
    <t>PF Applicable</t>
  </si>
  <si>
    <t>ESI Applicable</t>
  </si>
  <si>
    <t>Bank/KYC Status</t>
  </si>
  <si>
    <t>Contract Worker</t>
  </si>
  <si>
    <t>Delhi</t>
  </si>
  <si>
    <t>2026-01-10</t>
  </si>
  <si>
    <t>Verified</t>
  </si>
  <si>
    <t>2026-02-01</t>
  </si>
  <si>
    <t>Bihar</t>
  </si>
  <si>
    <t>2026-03-15</t>
  </si>
  <si>
    <t>Payroll Register — Formula-Driven Example</t>
  </si>
  <si>
    <t>Basic Pay</t>
  </si>
  <si>
    <t>DA</t>
  </si>
  <si>
    <t>HRA</t>
  </si>
  <si>
    <t>Other Earnings</t>
  </si>
  <si>
    <t>Gross Pay</t>
  </si>
  <si>
    <t>PT</t>
  </si>
  <si>
    <t>LWF</t>
  </si>
  <si>
    <t>TDS</t>
  </si>
  <si>
    <t>Other Deduction</t>
  </si>
  <si>
    <t>Total Deduction</t>
  </si>
  <si>
    <t>Employer LWF</t>
  </si>
  <si>
    <t>Minimum Wage Check</t>
  </si>
  <si>
    <t>Code Compliance Status</t>
  </si>
  <si>
    <t>TOTAL</t>
  </si>
  <si>
    <t>Payroll Approval &amp; Segregation of Duties</t>
  </si>
  <si>
    <t>Stage</t>
  </si>
  <si>
    <t>Action</t>
  </si>
  <si>
    <t>Maker</t>
  </si>
  <si>
    <t>Checker/Approver</t>
  </si>
  <si>
    <t>System Control</t>
  </si>
  <si>
    <t>Evidence</t>
  </si>
  <si>
    <t>SLA</t>
  </si>
  <si>
    <t>Escalation</t>
  </si>
  <si>
    <t>Attendance</t>
  </si>
  <si>
    <t>Finalize attendance</t>
  </si>
  <si>
    <t>Lock edits after approval</t>
  </si>
  <si>
    <t>Approved attendance</t>
  </si>
  <si>
    <t>Generate payroll</t>
  </si>
  <si>
    <t>Payroll Engine/Admin</t>
  </si>
  <si>
    <t>Payroll Manager</t>
  </si>
  <si>
    <t>Rule + master validation</t>
  </si>
  <si>
    <t>Confirm payroll/cost</t>
  </si>
  <si>
    <t>Contractor Manager</t>
  </si>
  <si>
    <t>Variance check</t>
  </si>
  <si>
    <t>Approval log</t>
  </si>
  <si>
    <t>Employer</t>
  </si>
  <si>
    <t>Approve payroll</t>
  </si>
  <si>
    <t>Employer Payroll/HR</t>
  </si>
  <si>
    <t>Authorized Employer Approver</t>
  </si>
  <si>
    <t>Maker-checker</t>
  </si>
  <si>
    <t>Management</t>
  </si>
  <si>
    <t>Payment</t>
  </si>
  <si>
    <t>Release payment</t>
  </si>
  <si>
    <t>Authorized Signatory</t>
  </si>
  <si>
    <t>Bank validation</t>
  </si>
  <si>
    <t>Bank reference</t>
  </si>
  <si>
    <t>Finance Head</t>
  </si>
  <si>
    <t>Submit statutory pack</t>
  </si>
  <si>
    <t>Compliance Head</t>
  </si>
  <si>
    <t>Document completeness</t>
  </si>
  <si>
    <t>Challan/register/submission evidence</t>
  </si>
  <si>
    <t>Close</t>
  </si>
  <si>
    <t>Close payroll period</t>
  </si>
  <si>
    <t>No mandatory open exceptions</t>
  </si>
  <si>
    <t>Closure log</t>
  </si>
  <si>
    <t>Payroll Exception &amp; Control Rules</t>
  </si>
  <si>
    <t>Exception ID</t>
  </si>
  <si>
    <t>Condition</t>
  </si>
  <si>
    <t>Severity</t>
  </si>
  <si>
    <t>Payroll Action</t>
  </si>
  <si>
    <t>Resolution Evidence</t>
  </si>
  <si>
    <t>Auto Alert</t>
  </si>
  <si>
    <t>EX-001</t>
  </si>
  <si>
    <t>Attendance not finalized</t>
  </si>
  <si>
    <t>High</t>
  </si>
  <si>
    <t>Hold worker payroll</t>
  </si>
  <si>
    <t>Contractor/Employer</t>
  </si>
  <si>
    <t>EX-002</t>
  </si>
  <si>
    <t>Worker KYC/bank status not verified</t>
  </si>
  <si>
    <t>Hold payment; payroll may remain draft</t>
  </si>
  <si>
    <t>HR/Contractor</t>
  </si>
  <si>
    <t>Verification evidence</t>
  </si>
  <si>
    <t>EX-003</t>
  </si>
  <si>
    <t>Wage rule missing/expired</t>
  </si>
  <si>
    <t>Critical</t>
  </si>
  <si>
    <t>Stop calculation</t>
  </si>
  <si>
    <t>Active wage rule</t>
  </si>
  <si>
    <t>EX-004</t>
  </si>
  <si>
    <t>Net pay &lt; 0</t>
  </si>
  <si>
    <t>Stop payment</t>
  </si>
  <si>
    <t>Approved correction</t>
  </si>
  <si>
    <t>EX-005</t>
  </si>
  <si>
    <t>Gross variance beyond configured threshold</t>
  </si>
  <si>
    <t>Medium</t>
  </si>
  <si>
    <t>Review before approval</t>
  </si>
  <si>
    <t>Variance explanation</t>
  </si>
  <si>
    <t>EX-006</t>
  </si>
  <si>
    <t>Duplicate bank account for multiple workers</t>
  </si>
  <si>
    <t>Hold affected payments</t>
  </si>
  <si>
    <t>Finance/HR</t>
  </si>
  <si>
    <t>Validated exception</t>
  </si>
  <si>
    <t>EX-007</t>
  </si>
  <si>
    <t>Statutory applicability missing</t>
  </si>
  <si>
    <t>Hold compliance submission</t>
  </si>
  <si>
    <t>Applicability decision</t>
  </si>
  <si>
    <t>EX-008</t>
  </si>
  <si>
    <t>Payment rejected by bank</t>
  </si>
  <si>
    <t>Create re-payment task</t>
  </si>
  <si>
    <t>Bank rejection + successful re-payment</t>
  </si>
  <si>
    <t>Payroll Dashboard — Management View</t>
  </si>
  <si>
    <t>Total Workers</t>
  </si>
  <si>
    <t>Gross Payroll</t>
  </si>
  <si>
    <t>Net Payroll</t>
  </si>
  <si>
    <t>Workers with Exception</t>
  </si>
  <si>
    <t>Recommended system sequence</t>
  </si>
  <si>
    <t>1. Master Data → 2. Wage/Rule Master → 3. Attendance → 4. Attendance Approval → 5. Payroll Calculation → 6. Validation → 7. Contractor Approval → 8. Employer Approval → 9. Payment → 10. Payslip/Register → 11. Compliance → 12. Payroll Closure</t>
  </si>
  <si>
    <t>Payroll Data &amp; API / Integration Mapping</t>
  </si>
  <si>
    <t>Data Domain</t>
  </si>
  <si>
    <t>Entity/Table</t>
  </si>
  <si>
    <t>Key Fields</t>
  </si>
  <si>
    <t>Source/System</t>
  </si>
  <si>
    <t>Direction</t>
  </si>
  <si>
    <t>Trigger</t>
  </si>
  <si>
    <t>Audit Requirement</t>
  </si>
  <si>
    <t>Worker</t>
  </si>
  <si>
    <t>Worker Master</t>
  </si>
  <si>
    <t>Worker ID, KYC, employment status, site</t>
  </si>
  <si>
    <t>BSS</t>
  </si>
  <si>
    <t>Inbound</t>
  </si>
  <si>
    <t>Worker onboarding/update</t>
  </si>
  <si>
    <t>Payroll eligibility</t>
  </si>
  <si>
    <t>Versioned master history</t>
  </si>
  <si>
    <t>Contractor Master</t>
  </si>
  <si>
    <t>Contractor ID, agreement, site</t>
  </si>
  <si>
    <t>Contractor mapping</t>
  </si>
  <si>
    <t>Payroll grouping/billing</t>
  </si>
  <si>
    <t>Agreement validity</t>
  </si>
  <si>
    <t>Attendance Ledger</t>
  </si>
  <si>
    <t>Worker ID, date, status, OT</t>
  </si>
  <si>
    <t>BSS QR Attendance</t>
  </si>
  <si>
    <t>Daily/finalization</t>
  </si>
  <si>
    <t>Payable days and OT</t>
  </si>
  <si>
    <t>Immutable approval log</t>
  </si>
  <si>
    <t>Wage</t>
  </si>
  <si>
    <t>State, category, skill, wage, effective date</t>
  </si>
  <si>
    <t>BSS Rule Engine</t>
  </si>
  <si>
    <t>Rule update</t>
  </si>
  <si>
    <t>Gross wage calculation</t>
  </si>
  <si>
    <t>Effective-dated versions</t>
  </si>
  <si>
    <t>Statutory</t>
  </si>
  <si>
    <t>Statutory Rule Master</t>
  </si>
  <si>
    <t>Rule, rate, ceiling, state, effective date</t>
  </si>
  <si>
    <t>Configured/Govt source</t>
  </si>
  <si>
    <t>Deductions/employer cost</t>
  </si>
  <si>
    <t>Version + source</t>
  </si>
  <si>
    <t>Payroll Register</t>
  </si>
  <si>
    <t>Batch ID, Worker ID, earnings, deductions</t>
  </si>
  <si>
    <t>Internal</t>
  </si>
  <si>
    <t>Calculation</t>
  </si>
  <si>
    <t>Calculation trace</t>
  </si>
  <si>
    <t>Payment Batch</t>
  </si>
  <si>
    <t>Worker ID, account, amount, status</t>
  </si>
  <si>
    <t>Bank/Finance</t>
  </si>
  <si>
    <t>Outbound/Inbound</t>
  </si>
  <si>
    <t>Approval/release</t>
  </si>
  <si>
    <t>Salary payment</t>
  </si>
  <si>
    <t>Compliance Pack</t>
  </si>
  <si>
    <t>Register/challan/submission evidence</t>
  </si>
  <si>
    <t>BSS Compliance</t>
  </si>
  <si>
    <t>Outbound</t>
  </si>
  <si>
    <t>Payroll close</t>
  </si>
  <si>
    <t>Statutory evidence</t>
  </si>
  <si>
    <t>Submission timestamp</t>
  </si>
  <si>
    <t>Implementation Notes &amp; Recommended Payroll Engine Architecture</t>
  </si>
  <si>
    <t>Rule principle</t>
  </si>
  <si>
    <t>Never hard-code statutory rates in application logic. Store rate, ceiling, applicability, state, worker category and effective dates in a versioned Rule Master.</t>
  </si>
  <si>
    <t>Calculation principle</t>
  </si>
  <si>
    <t>Separate attendance eligibility, earnings, deductions, employer costs and payment. Each stage should have its own audit event.</t>
  </si>
  <si>
    <t>Approval principle</t>
  </si>
  <si>
    <t>Use maker-checker controls: contractor finalizes attendance, employer approves attendance/payroll, finance releases payment.</t>
  </si>
  <si>
    <t>Effective dating</t>
  </si>
  <si>
    <t>Every wage and statutory rule must have Effective From/To. Recalculate only against the rule version applicable to the payroll period.</t>
  </si>
  <si>
    <t>Auditability</t>
  </si>
  <si>
    <t>Store input snapshot + rule version + formula/result + user/action/timestamp for every payroll line.</t>
  </si>
  <si>
    <t>Exception handling</t>
  </si>
  <si>
    <t>Do not silently calculate around missing or conflicting data. Route exceptions to a queue and block only the affected worker/batch according to configured severity.</t>
  </si>
  <si>
    <t>BSS integration</t>
  </si>
  <si>
    <t>Payroll should consume BSS Worker ID, Contractor ID, Principal Employer ID, Site ID, attendance approval and wage master rather than creating parallel identities.</t>
  </si>
  <si>
    <t>Billing integration</t>
  </si>
  <si>
    <t>For contractor payroll, approved worker cost can feed the contractor invoice/cost sheet after employer approval.</t>
  </si>
  <si>
    <t>Important compliance note</t>
  </si>
  <si>
    <t>The workbook is designed as a Labour-Code-ready payroll architecture, but state/UT-specific minimum wages, PT/LWF and other applicable rules must be loaded from current notifications before production use. The rule engine is intentionally effective-dated rather than hard-coded.</t>
  </si>
  <si>
    <t>Official basis reviewed</t>
  </si>
  <si>
    <t>Ministry of Labour &amp; Employment: four Labour Codes effective 21-Nov-2025; MoLE FAQs/Additional FAQs on the wage definition and 50% rule (including OT treatment).</t>
  </si>
  <si>
    <t>Haryana Sample - Component, Class and Statutory Base</t>
  </si>
  <si>
    <t>Read across each row: what the component is, whether it is Wages / Exclusion / Not in Remuneration, and which statutory calculations use it as their base. Cell numbers are from the 'Haryana Sample' sheet.</t>
  </si>
  <si>
    <t>Wages</t>
  </si>
  <si>
    <t>Exclusion</t>
  </si>
  <si>
    <t>Not in Remuneration</t>
  </si>
  <si>
    <t>Not classified</t>
  </si>
  <si>
    <t>Statutory calculations that use this component as their base  (Yes = the component is inside the base; - = it is not)</t>
  </si>
  <si>
    <t>Cell</t>
  </si>
  <si>
    <t>Where it is paid / shown</t>
  </si>
  <si>
    <t>Class</t>
  </si>
  <si>
    <t>In Remuneration?</t>
  </si>
  <si>
    <t>How it is calculated</t>
  </si>
  <si>
    <t>ESIC</t>
  </si>
  <si>
    <t>PF</t>
  </si>
  <si>
    <t>Stat Bonus</t>
  </si>
  <si>
    <t>Leave Wages</t>
  </si>
  <si>
    <t>Festival Holidays</t>
  </si>
  <si>
    <t>NPS</t>
  </si>
  <si>
    <t>PART A - Fixed earnings (paid in the monthly salary)</t>
  </si>
  <si>
    <t>Basic Salary + DA</t>
  </si>
  <si>
    <t>C15</t>
  </si>
  <si>
    <t>Monthly pay (Total A)</t>
  </si>
  <si>
    <t>Higher of 51% of Remuneration or the minimum wage for the grade, less Washing and Other allowances. Minimum wage is always inside Basic.</t>
  </si>
  <si>
    <t>Washing Allowance</t>
  </si>
  <si>
    <t>C18</t>
  </si>
  <si>
    <t>Amount entered by the user</t>
  </si>
  <si>
    <t>Yes*</t>
  </si>
  <si>
    <t>-</t>
  </si>
  <si>
    <t>Other Allowance 1, 2, 3</t>
  </si>
  <si>
    <t>C19:C21</t>
  </si>
  <si>
    <t>Leave Wages - if taken MONTHLY</t>
  </si>
  <si>
    <t>C23</t>
  </si>
  <si>
    <t>Wages before leave wages x 32 / 12 / 26 (10.2564%). Only when Leave Wages mode = Monthly.</t>
  </si>
  <si>
    <t>House Rent Allowance (HRA)</t>
  </si>
  <si>
    <t>C16</t>
  </si>
  <si>
    <t>Balancing figure: whatever is left of the CTC after every other component.</t>
  </si>
  <si>
    <t>Conveyance Allowance</t>
  </si>
  <si>
    <t>C17</t>
  </si>
  <si>
    <t>Statutory Bonus - if taken MONTHLY</t>
  </si>
  <si>
    <t>C22</t>
  </si>
  <si>
    <t>8.33% of Wages, rounded. Only when Stat Bonus mode = Monthly.applicable if monthly wages is less than 21000</t>
  </si>
  <si>
    <t>PART B - Employer statutory contributions (part of CTC, not paid to the worker)</t>
  </si>
  <si>
    <t>Employer ESIC</t>
  </si>
  <si>
    <t>C26</t>
  </si>
  <si>
    <t>Employer contribution (Total B)</t>
  </si>
  <si>
    <t>3.25% of Wages. Nil if Wages are above 21,000.</t>
  </si>
  <si>
    <t>C27</t>
  </si>
  <si>
    <t>13% of Wages up to the PF ceiling (25000) (Ceiling Limit option) or 13% of Basic (Full Basic option).</t>
  </si>
  <si>
    <t>C28</t>
  </si>
  <si>
    <t>4.81% of Wages, rounded.</t>
  </si>
  <si>
    <t>C29</t>
  </si>
  <si>
    <t>As per State law</t>
  </si>
  <si>
    <t>PART C - Accrued items (part of CTC, not in the monthly salary)</t>
  </si>
  <si>
    <t>Statutory Bonus - if taken ANNUALLY</t>
  </si>
  <si>
    <t>C33</t>
  </si>
  <si>
    <t>Accrued monthly, paid yearly (Total C)</t>
  </si>
  <si>
    <t>8.33% of Wages, rounded. Only when Stat Bonus mode = Annual.applicable if monthly wages is less than 21000</t>
  </si>
  <si>
    <t>Leave Wages - if taken ANNUALLY</t>
  </si>
  <si>
    <t>C34</t>
  </si>
  <si>
    <t>Wages before leave wages x 32 / 26 / 12 (10.2564%), set aside every month. Only when Leave Wages mode = Annual. (every state leaves may be differ)</t>
  </si>
  <si>
    <t>C35</t>
  </si>
  <si>
    <t>Wages x 8 / 12 / 26 (2.5641%). Always calculated.</t>
  </si>
  <si>
    <t>CLIENT CHARGES (added after the CTC, not part of it)</t>
  </si>
  <si>
    <t>Mediclaim</t>
  </si>
  <si>
    <t>C38</t>
  </si>
  <si>
    <t>Outside CTC</t>
  </si>
  <si>
    <t>* PF: with the 'Ceiling Limit' option PF is worked out on Wages (Basic + Washing + Other + monthly Leave Wages), capped at the PF ceiling. With the 'Full Basic' option PF is on Basic only, so these rows show '-'.</t>
  </si>
  <si>
    <t>Employee deductions follow the employer figure: Employee PF = Employer PF / 13 x 12 (12%); Employee ESIC = Employer ESIC / 3.25 x 0.75 (0.75%, rounded); Employee LWF = Employer LWF / 2 (rounded). They are not separate bases.</t>
  </si>
  <si>
    <t>In one line: ESIC, PF, Gratuity, LWF, Stat Bonus and Festival Holidays are all worked out on Wages. Leave Wages are worked out on Wages before leave wages. NPS is on Basic only.</t>
  </si>
  <si>
    <t>Haryana Sample - Statutory Calculations</t>
  </si>
  <si>
    <t>Wages = Basic + Washing + Other allowances + Leave Wages (when taken monthly). Every statutory amount below is worked out on that base unless stated.</t>
  </si>
  <si>
    <t>Item</t>
  </si>
  <si>
    <t>Paid by</t>
  </si>
  <si>
    <t>Rate</t>
  </si>
  <si>
    <t>Calculated on</t>
  </si>
  <si>
    <t>Condition / limit</t>
  </si>
  <si>
    <t>Rounding</t>
  </si>
  <si>
    <t>Employer (in CTC)</t>
  </si>
  <si>
    <t>3.25%</t>
  </si>
  <si>
    <t>Nil if Wages are above 21,000.</t>
  </si>
  <si>
    <t>None</t>
  </si>
  <si>
    <t>Employee ESIC</t>
  </si>
  <si>
    <t>Employee (deduction)</t>
  </si>
  <si>
    <t>0.75%</t>
  </si>
  <si>
    <t>Wages, taken as Employer ESIC / 3.25 x 0.75</t>
  </si>
  <si>
    <t>Nil when Employer ESIC is nil.</t>
  </si>
  <si>
    <t>0 decimals</t>
  </si>
  <si>
    <t>C56</t>
  </si>
  <si>
    <t>13% (12% + 1%)</t>
  </si>
  <si>
    <t>Ceiling Limit option: Wages. Full Basic option: Basic only.</t>
  </si>
  <si>
    <t>Ceiling Limit option: Wages above 25,000 are cut to 25,000. Any other option value gives 0.</t>
  </si>
  <si>
    <t>12%</t>
  </si>
  <si>
    <t>Employer PF / 13 x 12</t>
  </si>
  <si>
    <t>Follows the employer amount.</t>
  </si>
  <si>
    <t>C55</t>
  </si>
  <si>
    <t>4.81%</t>
  </si>
  <si>
    <t>None.</t>
  </si>
  <si>
    <t>0.2% of Wages, maximum 35, then x 2</t>
  </si>
  <si>
    <t>State rules</t>
  </si>
  <si>
    <t>Employee LWF</t>
  </si>
  <si>
    <t>Half of Employer LWF</t>
  </si>
  <si>
    <t>C58</t>
  </si>
  <si>
    <t>Statutory Bonus - Monthly</t>
  </si>
  <si>
    <t>8.33%</t>
  </si>
  <si>
    <t xml:space="preserve">Applicable If monthly wages is less than 21000 </t>
  </si>
  <si>
    <t>Statutory Bonus - Annual</t>
  </si>
  <si>
    <t>Wages (Wages are rounded first, then multiplied)</t>
  </si>
  <si>
    <t>Wages only</t>
  </si>
  <si>
    <t>Leave Wages - Monthly</t>
  </si>
  <si>
    <t>32 / 12 / 26 = 10.2564%</t>
  </si>
  <si>
    <t>Wages before leave wages (Basic + Washing + Other)</t>
  </si>
  <si>
    <t>Adds to Wages, so ESIC, PF, Gratuity, LWF, Bonus and Festival Holidays go up.</t>
  </si>
  <si>
    <t>Leave Wages - Annual</t>
  </si>
  <si>
    <t>Set aside every month. Not in Wages, so the other statutory amounts stay lower.</t>
  </si>
  <si>
    <t>8 / 12 / 26 = 2.5641%</t>
  </si>
  <si>
    <t>Always calculated. Not in Remuneration.</t>
  </si>
  <si>
    <t>Employer NPS</t>
  </si>
  <si>
    <t>New 14%, Old 10%</t>
  </si>
  <si>
    <t>Basic only</t>
  </si>
  <si>
    <t>Nil if the option is No.</t>
  </si>
  <si>
    <t>C30</t>
  </si>
  <si>
    <t>Client charge</t>
  </si>
  <si>
    <t>1,100 a month</t>
  </si>
  <si>
    <t>Fixed amount</t>
  </si>
  <si>
    <t>Only when Employer ESIC is nil.</t>
  </si>
  <si>
    <t>Minimum wage</t>
  </si>
  <si>
    <t>Rule</t>
  </si>
  <si>
    <t>Grade-wise wage for Haryana</t>
  </si>
  <si>
    <t>Basic + Washing + Other is never below it.</t>
  </si>
  <si>
    <t>Professional Tax, Benevolent Fund, Fine, Advance, TDS</t>
  </si>
  <si>
    <t>Entered by the user</t>
  </si>
  <si>
    <t>Not calculated by the sheet.</t>
  </si>
  <si>
    <t>C57, C59:C64</t>
  </si>
  <si>
    <t>Rates and limits in this table are exactly what is typed in the sheet: 8.33%, 3.25%, 0.75%, 4.81%, 13%, 12%, 0.2%, 35, 21,000 (ESIC), 25,000 (PF), 32 leave days, 8 festival days, divisor 26, 12 months.</t>
  </si>
  <si>
    <t>Rules Explained in Simple Words</t>
  </si>
  <si>
    <t>Haryana Sample sheet</t>
  </si>
  <si>
    <t>1. Remuneration</t>
  </si>
  <si>
    <t>Remuneration is the CTC less everything that is 'Not in Remuneration'. In the sheet: Remuneration (I14) = CTC - Festival Holidays - Annual Leave Wages - Employer LWF - Gratuity - Employer ESIC. It is the same as Wages + Exclusion. Basic is fixed as a percentage of this figure.</t>
  </si>
  <si>
    <t>2. The three classes</t>
  </si>
  <si>
    <t>Meaning</t>
  </si>
  <si>
    <t>Components in Haryana Sample</t>
  </si>
  <si>
    <t>Counts in Remuneration?</t>
  </si>
  <si>
    <t>Used as base for statutory?</t>
  </si>
  <si>
    <t>The real salary of the worker. This is what statutory calculations are done on.</t>
  </si>
  <si>
    <t>Basic Salary + DA, Washing Allowance, Other Allowance 1-3, Leave Wages (only when taken monthly)</t>
  </si>
  <si>
    <t>Yes - ESIC, PF, Gratuity, LWF, Stat Bonus, Festival Holidays</t>
  </si>
  <si>
    <t>Paid to the worker or paid for the worker, but not treated as wages. Limited to 50% of Remuneration.</t>
  </si>
  <si>
    <t>House Rent Allowance, Conveyance Allowance, Statutory Bonus (monthly or annual), Employer PF</t>
  </si>
  <si>
    <t>Employer costs and accruals that sit inside the CTC but are taken out before Remuneration is worked out.</t>
  </si>
  <si>
    <t>Employer ESIC, Gratuity, Employer LWF, Annual Leave Wages, Festival Holidays. Outside the CTC: Mediclaim, client charges, Reliever Charges, Management Fees.</t>
  </si>
  <si>
    <t>3. The 50% rule: Exclusion cannot be more than 50% of Remuneration</t>
  </si>
  <si>
    <t>Remuneration = Wages + Exclusion. Exclusion % = Exclusion / Remuneration and Wage % = Wages / Remuneration. The sheet shows both (I17 and I18) and the note at H22 says Exclusion must not be more than 50%. The sheet fixes Basic at 51% of Remuneration (or the minimum wage, if higher). Because Basic is already Wages, Wages are always at least 51%, so Exclusion stays at 49% or less whenever the structure ties to the CTC. The ratios are only displayed: the sheet does not stop or correct anything if the limit is crossed, and Employer NPS is in neither group. See the Worked Example sheet for a live check.</t>
  </si>
  <si>
    <t>4. Minimum wage must always be inside Wages</t>
  </si>
  <si>
    <t>Basic = the higher of (51% of Remuneration) and (minimum wage for the grade), less any Washing or Other allowance. So Basic + Washing + Other is never below the minimum wage. HRA, Conveyance, Bonus and PF cannot be used to make up the minimum wage. If the CTC is too low to carry the minimum wage plus the other components, the structure will not add up to the CTC and the difference at I5 turns negative.</t>
  </si>
  <si>
    <t>5. Statutory Bonus - Monthly or Annually</t>
  </si>
  <si>
    <t>Annually</t>
  </si>
  <si>
    <t>Setting (C10)</t>
  </si>
  <si>
    <t>Annual</t>
  </si>
  <si>
    <t>Where it appears</t>
  </si>
  <si>
    <t>Total A - paid in the salary (C22)</t>
  </si>
  <si>
    <t>Total C - set aside every month, paid once a year (C33)</t>
  </si>
  <si>
    <t>Amount</t>
  </si>
  <si>
    <t>8.33% of Wages, rounded</t>
  </si>
  <si>
    <t>8.33% of Wages (Wages rounded first)</t>
  </si>
  <si>
    <t>Effect on statutory base</t>
  </si>
  <si>
    <t>None - bonus is not in any base</t>
  </si>
  <si>
    <t>Effect on Net In-Hand</t>
  </si>
  <si>
    <t>Included (Net In-Hand is worked out from Total A)</t>
  </si>
  <si>
    <t>Not included</t>
  </si>
  <si>
    <t>6. Leave Wages - Monthly or Annually</t>
  </si>
  <si>
    <t>Setting (C11)</t>
  </si>
  <si>
    <t>Total A - paid in the salary (C23)</t>
  </si>
  <si>
    <t>Total C - set aside every month (C34)</t>
  </si>
  <si>
    <t>Wages before leave wages x 32 / 12 / 26</t>
  </si>
  <si>
    <t>Wages before leave wages x 32 / 26 / 12 (same amount)</t>
  </si>
  <si>
    <t>Added to Wages, so ESIC, PF (Ceiling option), Gratuity, LWF, Stat Bonus and Festival Holidays are calculated on a higher base</t>
  </si>
  <si>
    <t>Not in Wages, so those amounts are lower</t>
  </si>
  <si>
    <t>Effect on Remuneration</t>
  </si>
  <si>
    <t>Remuneration is higher (it is not taken out)</t>
  </si>
  <si>
    <t>Remuneration is lower (it is taken out)</t>
  </si>
  <si>
    <t>7. Statutory computation on Wages</t>
  </si>
  <si>
    <t>Wages = Basic + Washing + Other allowances + Leave Wages (only when monthly). ESIC 3.25%, PF 13%, Gratuity 4.81%, LWF 0.2% (cap 35, x 2), Stat Bonus 8.33% and Festival Holidays 2.5641% are all taken on this Wages figure. Exceptions: PF on Basic only when the option is 'Full Basic'; Leave Wages on Wages before leave wages; NPS on Basic only. ESIC is nil when Wages are above 21,000; PF is capped when Wages are above 25,000 (Ceiling Limit option). The Statutory Calculations sheet has the full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</si>
</sst>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x14ac:knownFonts="1">
    <font>
      <sz val="11"/>
      <color theme="1"/>
      <name val="Calibri"/>
      <family val="2"/>
      <scheme val="minor"/>
    </font>
    <font>
      <b/>
      <sz val="16"/>
      <color rgb="FFFFFFFF"/>
      <name val="Calibri"/>
      <family val="2"/>
    </font>
    <font>
      <b/>
      <sz val="11"/>
      <name val="Calibri"/>
      <family val="2"/>
    </font>
    <font>
      <b/>
      <sz val="11"/>
      <color rgb="FFFFFFFF"/>
      <name val="Calibri"/>
      <family val="2"/>
    </font>
    <font>
      <b/>
      <sz val="14"/>
      <name val="Calibri"/>
      <family val="2"/>
    </font>
    <font>
      <b/>
      <sz val="12"/>
      <color rgb="FFFFFFFF"/>
      <name val="Calibri"/>
      <family val="2"/>
    </font>
    <font>
      <b/>
      <sz val="11"/>
      <color rgb="FFC00000"/>
      <name val="Calibri"/>
      <family val="2"/>
    </font>
    <font>
      <b/>
      <sz val="16"/>
      <color rgb="FF1F3864"/>
      <name val="Arial"/>
      <family val="2"/>
    </font>
    <font>
      <i/>
      <sz val="9"/>
      <color rgb="FF595959"/>
      <name val="Arial"/>
      <family val="2"/>
    </font>
    <font>
      <b/>
      <sz val="10"/>
      <name val="Arial"/>
      <family val="2"/>
    </font>
    <font>
      <b/>
      <sz val="12"/>
      <color rgb="FF1F3864"/>
      <name val="Arial"/>
      <family val="2"/>
    </font>
    <font>
      <b/>
      <sz val="10"/>
      <color rgb="FFFFFFFF"/>
      <name val="Arial"/>
      <family val="2"/>
    </font>
    <font>
      <sz val="10"/>
      <name val="Arial"/>
      <family val="2"/>
    </font>
  </fonts>
  <fills count="14">
    <fill>
      <patternFill patternType="none"/>
    </fill>
    <fill>
      <patternFill patternType="gray125"/>
    </fill>
    <fill>
      <patternFill patternType="solid">
        <fgColor rgb="FF17365D"/>
      </patternFill>
    </fill>
    <fill>
      <patternFill patternType="solid">
        <fgColor rgb="FFD9EAF7"/>
      </patternFill>
    </fill>
    <fill>
      <patternFill patternType="solid">
        <fgColor rgb="FFE2F0D9"/>
      </patternFill>
    </fill>
    <fill>
      <patternFill patternType="solid">
        <fgColor rgb="FFFCE4D6"/>
      </patternFill>
    </fill>
    <fill>
      <patternFill patternType="solid">
        <fgColor rgb="FFC6E0B4"/>
        <bgColor rgb="FFD9D9D9"/>
      </patternFill>
    </fill>
    <fill>
      <patternFill patternType="solid">
        <fgColor rgb="FFFFE699"/>
        <bgColor rgb="FFFFF2CC"/>
      </patternFill>
    </fill>
    <fill>
      <patternFill patternType="solid">
        <fgColor rgb="FFF4B084"/>
        <bgColor rgb="FFFF99CC"/>
      </patternFill>
    </fill>
    <fill>
      <patternFill patternType="solid">
        <fgColor rgb="FFD9D9D9"/>
        <bgColor rgb="FFD9E2F3"/>
      </patternFill>
    </fill>
    <fill>
      <patternFill patternType="solid">
        <fgColor rgb="FF1F3864"/>
        <bgColor rgb="FF333333"/>
      </patternFill>
    </fill>
    <fill>
      <patternFill patternType="solid">
        <fgColor rgb="FFD9E2F3"/>
        <bgColor rgb="FFDDEBF7"/>
      </patternFill>
    </fill>
    <fill>
      <patternFill patternType="solid">
        <fgColor rgb="FFDDEBF7"/>
        <bgColor rgb="FFD9E2F3"/>
      </patternFill>
    </fill>
    <fill>
      <patternFill patternType="solid">
        <fgColor rgb="FFF2F2F2"/>
        <bgColor rgb="FFDDEBF7"/>
      </patternFill>
    </fill>
  </fills>
  <borders count="5">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46">
    <xf numFmtId="0" fontId="0" fillId="0" borderId="0" xfId="0"/>
    <xf numFmtId="0" fontId="2" fillId="3" borderId="0" xfId="0" applyFont="1" applyFill="1" applyAlignment="1">
      <alignment vertical="top" wrapText="1"/>
    </xf>
    <xf numFmtId="0" fontId="3" fillId="2" borderId="1" xfId="0" applyFont="1" applyFill="1" applyBorder="1" applyAlignment="1">
      <alignment vertical="top" wrapText="1"/>
    </xf>
    <xf numFmtId="0" fontId="0" fillId="0" borderId="1" xfId="0" applyBorder="1" applyAlignment="1">
      <alignment vertical="top" wrapText="1"/>
    </xf>
    <xf numFmtId="10" fontId="0" fillId="0" borderId="1" xfId="0" applyNumberFormat="1" applyBorder="1" applyAlignment="1">
      <alignment vertical="top" wrapText="1"/>
    </xf>
    <xf numFmtId="9" fontId="0" fillId="0" borderId="1" xfId="0" applyNumberFormat="1" applyBorder="1" applyAlignment="1">
      <alignment vertical="top" wrapText="1"/>
    </xf>
    <xf numFmtId="164" fontId="0" fillId="0" borderId="1" xfId="0" applyNumberFormat="1" applyBorder="1" applyAlignment="1">
      <alignment vertical="top" wrapText="1"/>
    </xf>
    <xf numFmtId="0" fontId="2" fillId="0" borderId="0" xfId="0" applyFont="1" applyAlignment="1">
      <alignment vertical="top" wrapText="1"/>
    </xf>
    <xf numFmtId="2" fontId="2" fillId="0" borderId="1" xfId="0" applyNumberFormat="1" applyFont="1" applyBorder="1" applyAlignment="1">
      <alignment vertical="top" wrapText="1"/>
    </xf>
    <xf numFmtId="164" fontId="2" fillId="0" borderId="1" xfId="0" applyNumberFormat="1" applyFont="1" applyBorder="1" applyAlignment="1">
      <alignment vertical="top" wrapText="1"/>
    </xf>
    <xf numFmtId="0" fontId="2" fillId="3" borderId="1" xfId="0" applyFont="1" applyFill="1" applyBorder="1" applyAlignment="1">
      <alignment vertical="top" wrapText="1"/>
    </xf>
    <xf numFmtId="1" fontId="4" fillId="0" borderId="1" xfId="0" applyNumberFormat="1" applyFont="1" applyBorder="1" applyAlignment="1">
      <alignment vertical="top" wrapText="1"/>
    </xf>
    <xf numFmtId="164" fontId="4" fillId="0" borderId="1" xfId="0" applyNumberFormat="1" applyFont="1" applyBorder="1" applyAlignment="1">
      <alignment vertical="top" wrapText="1"/>
    </xf>
    <xf numFmtId="0" fontId="2" fillId="3" borderId="1" xfId="0" applyFont="1" applyFill="1" applyBorder="1"/>
    <xf numFmtId="0" fontId="3" fillId="2" borderId="1" xfId="0" applyFont="1" applyFill="1" applyBorder="1" applyAlignment="1">
      <alignment horizontal="center" wrapText="1"/>
    </xf>
    <xf numFmtId="0" fontId="3" fillId="2" borderId="1" xfId="0" applyFont="1" applyFill="1" applyBorder="1"/>
    <xf numFmtId="0" fontId="6" fillId="0" borderId="0" xfId="0" applyFont="1"/>
    <xf numFmtId="0" fontId="0" fillId="0" borderId="0" xfId="0" applyAlignment="1">
      <alignment vertical="top" wrapText="1"/>
    </xf>
    <xf numFmtId="0" fontId="0" fillId="0" borderId="0" xfId="0"/>
    <xf numFmtId="0" fontId="1" fillId="2" borderId="0" xfId="0" applyFont="1" applyFill="1" applyAlignment="1">
      <alignment horizontal="center" vertical="center"/>
    </xf>
    <xf numFmtId="0" fontId="5" fillId="2" borderId="0" xfId="0" applyFont="1" applyFill="1" applyAlignment="1">
      <alignment vertical="top" wrapText="1"/>
    </xf>
    <xf numFmtId="0" fontId="0" fillId="4" borderId="0" xfId="0" applyFill="1" applyAlignment="1">
      <alignment vertical="top" wrapText="1"/>
    </xf>
    <xf numFmtId="0" fontId="0" fillId="0" borderId="1" xfId="0" applyBorder="1" applyAlignment="1">
      <alignment vertical="top" wrapText="1"/>
    </xf>
    <xf numFmtId="0" fontId="0" fillId="0" borderId="2" xfId="0" applyBorder="1"/>
    <xf numFmtId="0" fontId="0" fillId="0" borderId="3" xfId="0" applyBorder="1"/>
    <xf numFmtId="0" fontId="0" fillId="5" borderId="0" xfId="0" applyFill="1" applyAlignment="1">
      <alignment vertical="top" wrapText="1"/>
    </xf>
    <xf numFmtId="0" fontId="7" fillId="0" borderId="0" xfId="0" applyFont="1"/>
    <xf numFmtId="0" fontId="8" fillId="0" borderId="0" xfId="0" applyFont="1"/>
    <xf numFmtId="0" fontId="9" fillId="6" borderId="4"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10" fillId="0" borderId="0" xfId="0" applyFont="1"/>
    <xf numFmtId="0" fontId="11" fillId="10" borderId="4" xfId="0" applyFont="1" applyFill="1" applyBorder="1" applyAlignment="1">
      <alignment horizontal="left" vertical="center" wrapText="1"/>
    </xf>
    <xf numFmtId="0" fontId="11" fillId="10" borderId="4" xfId="0" applyFont="1" applyFill="1" applyBorder="1" applyAlignment="1">
      <alignment horizontal="center" vertical="center" wrapText="1"/>
    </xf>
    <xf numFmtId="0" fontId="9" fillId="11" borderId="4" xfId="0" applyFont="1" applyFill="1" applyBorder="1"/>
    <xf numFmtId="0" fontId="12" fillId="0" borderId="4" xfId="0" applyFont="1" applyBorder="1" applyAlignment="1">
      <alignment horizontal="center" vertical="center" wrapText="1"/>
    </xf>
    <xf numFmtId="0" fontId="9" fillId="0" borderId="4" xfId="0" applyFont="1" applyBorder="1" applyAlignment="1">
      <alignment vertical="top" wrapText="1"/>
    </xf>
    <xf numFmtId="0" fontId="12" fillId="0" borderId="4" xfId="0" applyFont="1" applyBorder="1" applyAlignment="1">
      <alignment vertical="top" wrapText="1"/>
    </xf>
    <xf numFmtId="0" fontId="9" fillId="12" borderId="4" xfId="0" applyFont="1" applyFill="1" applyBorder="1" applyAlignment="1">
      <alignment horizontal="center" vertical="center" wrapText="1"/>
    </xf>
    <xf numFmtId="0" fontId="8" fillId="0" borderId="0" xfId="0" applyFont="1" applyAlignment="1">
      <alignment vertical="top" wrapText="1"/>
    </xf>
    <xf numFmtId="0" fontId="9" fillId="13" borderId="4" xfId="0" applyFont="1" applyFill="1" applyBorder="1" applyAlignment="1">
      <alignment vertical="top" wrapText="1"/>
    </xf>
    <xf numFmtId="0" fontId="12" fillId="0" borderId="0" xfId="0" applyFont="1" applyAlignment="1">
      <alignment vertical="top" wrapText="1"/>
    </xf>
    <xf numFmtId="0" fontId="9" fillId="6" borderId="4" xfId="0" applyFont="1" applyFill="1" applyBorder="1" applyAlignment="1">
      <alignment vertical="top" wrapText="1"/>
    </xf>
    <xf numFmtId="0" fontId="9" fillId="7" borderId="4" xfId="0" applyFont="1" applyFill="1" applyBorder="1" applyAlignment="1">
      <alignment vertical="top" wrapText="1"/>
    </xf>
    <xf numFmtId="0" fontId="9" fillId="8" borderId="4" xfId="0" applyFont="1" applyFill="1" applyBorder="1" applyAlignment="1">
      <alignment vertical="top" wrapText="1"/>
    </xf>
  </cellXfs>
  <cellStyles count="1">
    <cellStyle name="Normal" xfId="0" builtinId="0"/>
  </cellStyles>
  <dxfs count="3">
    <dxf>
      <fill>
        <patternFill patternType="solid">
          <fgColor rgb="FFF4CCCC"/>
        </patternFill>
      </fill>
    </dxf>
    <dxf>
      <fill>
        <patternFill patternType="solid">
          <fgColor rgb="FFFCE4D6"/>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t>Payroll Value</a:t>
            </a:r>
          </a:p>
        </c:rich>
      </c:tx>
      <c:overlay val="1"/>
    </c:title>
    <c:autoTitleDeleted val="0"/>
    <c:plotArea>
      <c:layout/>
      <c:barChart>
        <c:barDir val="col"/>
        <c:grouping val="clustered"/>
        <c:varyColors val="1"/>
        <c:ser>
          <c:idx val="0"/>
          <c:order val="0"/>
          <c:spPr>
            <a:ln>
              <a:prstDash val="solid"/>
            </a:ln>
          </c:spPr>
          <c:invertIfNegative val="1"/>
          <c:cat>
            <c:strRef>
              <c:f>'Payroll Dashboard'!$A$4:$A$7</c:f>
              <c:strCache>
                <c:ptCount val="4"/>
                <c:pt idx="0">
                  <c:v>Gross Payroll</c:v>
                </c:pt>
                <c:pt idx="1">
                  <c:v>Total Deductions</c:v>
                </c:pt>
                <c:pt idx="2">
                  <c:v>Net Payroll</c:v>
                </c:pt>
                <c:pt idx="3">
                  <c:v>Employer Cost</c:v>
                </c:pt>
              </c:strCache>
            </c:strRef>
          </c:cat>
          <c:val>
            <c:numRef>
              <c:f>'Payroll Dashboard'!$B$4:$B$7</c:f>
              <c:numCache>
                <c:formatCode>\₹#,##0.00</c:formatCode>
                <c:ptCount val="4"/>
                <c:pt idx="0">
                  <c:v>39500</c:v>
                </c:pt>
                <c:pt idx="1">
                  <c:v>4684.25</c:v>
                </c:pt>
                <c:pt idx="2">
                  <c:v>34815.75</c:v>
                </c:pt>
                <c:pt idx="3">
                  <c:v>45171.750000000007</c:v>
                </c:pt>
              </c:numCache>
            </c:numRef>
          </c:val>
          <c:extLst>
            <c:ext xmlns:c16="http://schemas.microsoft.com/office/drawing/2014/chart" uri="{C3380CC4-5D6E-409C-BE32-E72D297353CC}">
              <c16:uniqueId val="{00000000-12AF-134C-B055-28FD52D88E9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Metric</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Amount (₹)</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0</xdr:rowOff>
    </xdr:from>
    <xdr:ext cx="5040000" cy="252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AttendanceTable" displayName="AttendanceTable" ref="A4:L7">
  <autoFilter ref="A4:L7" xr:uid="{00000000-0009-0000-0100-000003000000}"/>
  <tableColumns count="12">
    <tableColumn id="1" xr3:uid="{00000000-0010-0000-0000-000001000000}" name="Worker ID"/>
    <tableColumn id="2" xr3:uid="{00000000-0010-0000-0000-000002000000}" name="Worker Name"/>
    <tableColumn id="3" xr3:uid="{00000000-0010-0000-0000-000003000000}" name="Contractor"/>
    <tableColumn id="4" xr3:uid="{00000000-0010-0000-0000-000004000000}" name="Site"/>
    <tableColumn id="5" xr3:uid="{00000000-0010-0000-0000-000005000000}" name="Period"/>
    <tableColumn id="6" xr3:uid="{00000000-0010-0000-0000-000006000000}" name="Calendar Days"/>
    <tableColumn id="7" xr3:uid="{00000000-0010-0000-0000-000007000000}" name="Present Days"/>
    <tableColumn id="8" xr3:uid="{00000000-0010-0000-0000-000008000000}" name="Paid Leave"/>
    <tableColumn id="9" xr3:uid="{00000000-0010-0000-0000-000009000000}" name="Paid Holiday"/>
    <tableColumn id="10" xr3:uid="{00000000-0010-0000-0000-00000A000000}" name="OT Hours"/>
    <tableColumn id="11" xr3:uid="{00000000-0010-0000-0000-00000B000000}" name="Attendance Status"/>
    <tableColumn id="12" xr3:uid="{00000000-0010-0000-0000-00000C000000}" name="Employer Approv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WorkerMasterTable" displayName="WorkerMasterTable" ref="A4:M7">
  <autoFilter ref="A4:M7" xr:uid="{00000000-0009-0000-0100-000004000000}"/>
  <tableColumns count="13">
    <tableColumn id="1" xr3:uid="{00000000-0010-0000-0100-000001000000}" name="Worker ID"/>
    <tableColumn id="2" xr3:uid="{00000000-0010-0000-0100-000002000000}" name="Worker Name"/>
    <tableColumn id="3" xr3:uid="{00000000-0010-0000-0100-000003000000}" name="Category"/>
    <tableColumn id="4" xr3:uid="{00000000-0010-0000-0100-000004000000}" name="State"/>
    <tableColumn id="5" xr3:uid="{00000000-0010-0000-0100-000005000000}" name="Contractor"/>
    <tableColumn id="6" xr3:uid="{00000000-0010-0000-0100-000006000000}" name="Site"/>
    <tableColumn id="7" xr3:uid="{00000000-0010-0000-0100-000007000000}" name="Join Date"/>
    <tableColumn id="8" xr3:uid="{00000000-0010-0000-0100-000008000000}" name="Exit Date"/>
    <tableColumn id="9" xr3:uid="{00000000-0010-0000-0100-000009000000}" name="Monthly Wage"/>
    <tableColumn id="10" xr3:uid="{00000000-0010-0000-0100-00000A000000}" name="Basic %"/>
    <tableColumn id="11" xr3:uid="{00000000-0010-0000-0100-00000B000000}" name="PF Applicable"/>
    <tableColumn id="12" xr3:uid="{00000000-0010-0000-0100-00000C000000}" name="ESI Applicable"/>
    <tableColumn id="13" xr3:uid="{00000000-0010-0000-0100-00000D000000}" name="Bank/KYC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ApprovalTable" displayName="ApprovalTable" ref="A4:H11">
  <autoFilter ref="A4:H11" xr:uid="{00000000-0009-0000-0100-000006000000}"/>
  <tableColumns count="8">
    <tableColumn id="1" xr3:uid="{00000000-0010-0000-0200-000001000000}" name="Stage"/>
    <tableColumn id="2" xr3:uid="{00000000-0010-0000-0200-000002000000}" name="Action"/>
    <tableColumn id="3" xr3:uid="{00000000-0010-0000-0200-000003000000}" name="Maker"/>
    <tableColumn id="4" xr3:uid="{00000000-0010-0000-0200-000004000000}" name="Checker/Approver"/>
    <tableColumn id="5" xr3:uid="{00000000-0010-0000-0200-000005000000}" name="System Control"/>
    <tableColumn id="6" xr3:uid="{00000000-0010-0000-0200-000006000000}" name="Evidence"/>
    <tableColumn id="7" xr3:uid="{00000000-0010-0000-0200-000007000000}" name="SLA"/>
    <tableColumn id="8" xr3:uid="{00000000-0010-0000-0200-000008000000}" name="Escala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ExceptionTable" displayName="ExceptionTable" ref="A4:G12">
  <autoFilter ref="A4:G12" xr:uid="{00000000-0009-0000-0100-000007000000}"/>
  <tableColumns count="7">
    <tableColumn id="1" xr3:uid="{00000000-0010-0000-0300-000001000000}" name="Exception ID"/>
    <tableColumn id="2" xr3:uid="{00000000-0010-0000-0300-000002000000}" name="Condition"/>
    <tableColumn id="3" xr3:uid="{00000000-0010-0000-0300-000003000000}" name="Severity"/>
    <tableColumn id="4" xr3:uid="{00000000-0010-0000-0300-000004000000}" name="Payroll Action"/>
    <tableColumn id="5" xr3:uid="{00000000-0010-0000-0300-000005000000}" name="Owner"/>
    <tableColumn id="6" xr3:uid="{00000000-0010-0000-0300-000006000000}" name="Resolution Evidence"/>
    <tableColumn id="7" xr3:uid="{00000000-0010-0000-0300-000007000000}" name="Auto Aler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DataAPITable" displayName="DataAPITable" ref="A4:H12">
  <autoFilter ref="A4:H12" xr:uid="{00000000-0009-0000-0100-000008000000}"/>
  <tableColumns count="8">
    <tableColumn id="1" xr3:uid="{00000000-0010-0000-0400-000001000000}" name="Data Domain"/>
    <tableColumn id="2" xr3:uid="{00000000-0010-0000-0400-000002000000}" name="Entity/Table"/>
    <tableColumn id="3" xr3:uid="{00000000-0010-0000-0400-000003000000}" name="Key Fields"/>
    <tableColumn id="4" xr3:uid="{00000000-0010-0000-0400-000004000000}" name="Source/System"/>
    <tableColumn id="5" xr3:uid="{00000000-0010-0000-0400-000005000000}" name="Direction"/>
    <tableColumn id="6" xr3:uid="{00000000-0010-0000-0400-000006000000}" name="Trigger"/>
    <tableColumn id="7" xr3:uid="{00000000-0010-0000-0400-000007000000}" name="Purpose"/>
    <tableColumn id="8" xr3:uid="{00000000-0010-0000-0400-000008000000}" name="Audit Require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showGridLines="0" workbookViewId="0">
      <pane ySplit="4" topLeftCell="A5" activePane="bottomLeft" state="frozen"/>
      <selection pane="bottomLeft" activeCell="B9" sqref="B9"/>
    </sheetView>
  </sheetViews>
  <sheetFormatPr baseColWidth="10" defaultColWidth="8.83203125" defaultRowHeight="15" x14ac:dyDescent="0.2"/>
  <cols>
    <col min="1" max="1" width="9" customWidth="1"/>
    <col min="2" max="2" width="25" customWidth="1"/>
    <col min="3" max="3" width="28" customWidth="1"/>
    <col min="4" max="4" width="48" customWidth="1"/>
    <col min="5" max="5" width="28" customWidth="1"/>
    <col min="6" max="6" width="22" customWidth="1"/>
    <col min="7" max="7" width="32" customWidth="1"/>
    <col min="8" max="8" width="14" customWidth="1"/>
  </cols>
  <sheetData>
    <row r="1" spans="1:8" ht="21" x14ac:dyDescent="0.2">
      <c r="A1" s="19" t="s">
        <v>0</v>
      </c>
      <c r="B1" s="18"/>
      <c r="C1" s="18"/>
      <c r="D1" s="18"/>
      <c r="E1" s="18"/>
      <c r="F1" s="18"/>
      <c r="G1" s="18"/>
      <c r="H1" s="18"/>
    </row>
    <row r="2" spans="1:8" ht="16" x14ac:dyDescent="0.2">
      <c r="A2" s="1" t="s">
        <v>1</v>
      </c>
      <c r="B2" s="17" t="s">
        <v>2</v>
      </c>
      <c r="C2" s="18"/>
      <c r="D2" s="18"/>
      <c r="E2" s="18"/>
      <c r="F2" s="18"/>
      <c r="G2" s="18"/>
      <c r="H2" s="18"/>
    </row>
    <row r="4" spans="1:8" ht="16" x14ac:dyDescent="0.2">
      <c r="A4" s="2" t="s">
        <v>3</v>
      </c>
      <c r="B4" s="2" t="s">
        <v>4</v>
      </c>
      <c r="C4" s="2" t="s">
        <v>5</v>
      </c>
      <c r="D4" s="2" t="s">
        <v>6</v>
      </c>
      <c r="E4" s="2" t="s">
        <v>7</v>
      </c>
      <c r="F4" s="2" t="s">
        <v>8</v>
      </c>
      <c r="G4" s="2" t="s">
        <v>9</v>
      </c>
      <c r="H4" s="2" t="s">
        <v>10</v>
      </c>
    </row>
    <row r="5" spans="1:8" ht="32" x14ac:dyDescent="0.2">
      <c r="A5" s="3">
        <v>1</v>
      </c>
      <c r="B5" s="3" t="s">
        <v>11</v>
      </c>
      <c r="C5" s="3" t="s">
        <v>12</v>
      </c>
      <c r="D5" s="3" t="s">
        <v>13</v>
      </c>
      <c r="E5" s="3" t="s">
        <v>14</v>
      </c>
      <c r="F5" s="3" t="s">
        <v>15</v>
      </c>
      <c r="G5" s="3" t="s">
        <v>16</v>
      </c>
      <c r="H5" s="3" t="s">
        <v>17</v>
      </c>
    </row>
    <row r="6" spans="1:8" ht="32" x14ac:dyDescent="0.2">
      <c r="A6" s="3">
        <v>2</v>
      </c>
      <c r="B6" s="3" t="s">
        <v>18</v>
      </c>
      <c r="C6" s="3" t="s">
        <v>19</v>
      </c>
      <c r="D6" s="3" t="s">
        <v>20</v>
      </c>
      <c r="E6" s="3" t="s">
        <v>21</v>
      </c>
      <c r="F6" s="3" t="s">
        <v>22</v>
      </c>
      <c r="G6" s="3" t="s">
        <v>23</v>
      </c>
      <c r="H6" s="3" t="s">
        <v>24</v>
      </c>
    </row>
    <row r="7" spans="1:8" ht="32" x14ac:dyDescent="0.2">
      <c r="A7" s="3">
        <v>3</v>
      </c>
      <c r="B7" s="3" t="s">
        <v>25</v>
      </c>
      <c r="C7" s="3" t="s">
        <v>26</v>
      </c>
      <c r="D7" s="3" t="s">
        <v>27</v>
      </c>
      <c r="E7" s="3" t="s">
        <v>28</v>
      </c>
      <c r="F7" s="3" t="s">
        <v>29</v>
      </c>
      <c r="G7" s="3" t="s">
        <v>30</v>
      </c>
      <c r="H7" s="3" t="s">
        <v>31</v>
      </c>
    </row>
    <row r="8" spans="1:8" ht="32" x14ac:dyDescent="0.2">
      <c r="A8" s="3">
        <v>4</v>
      </c>
      <c r="B8" s="3" t="s">
        <v>32</v>
      </c>
      <c r="C8" s="3" t="s">
        <v>33</v>
      </c>
      <c r="D8" s="3" t="s">
        <v>34</v>
      </c>
      <c r="E8" s="3" t="s">
        <v>35</v>
      </c>
      <c r="F8" s="3" t="s">
        <v>29</v>
      </c>
      <c r="G8" s="3" t="s">
        <v>36</v>
      </c>
      <c r="H8" s="3" t="s">
        <v>37</v>
      </c>
    </row>
    <row r="9" spans="1:8" ht="32" x14ac:dyDescent="0.2">
      <c r="A9" s="3">
        <v>5</v>
      </c>
      <c r="B9" s="3" t="s">
        <v>38</v>
      </c>
      <c r="C9" s="3" t="s">
        <v>39</v>
      </c>
      <c r="D9" s="3" t="s">
        <v>40</v>
      </c>
      <c r="E9" s="3" t="s">
        <v>41</v>
      </c>
      <c r="F9" s="3" t="s">
        <v>29</v>
      </c>
      <c r="G9" s="3" t="s">
        <v>42</v>
      </c>
      <c r="H9" s="3" t="s">
        <v>43</v>
      </c>
    </row>
    <row r="10" spans="1:8" ht="32" x14ac:dyDescent="0.2">
      <c r="A10" s="3">
        <v>6</v>
      </c>
      <c r="B10" s="3" t="s">
        <v>44</v>
      </c>
      <c r="C10" s="3" t="s">
        <v>45</v>
      </c>
      <c r="D10" s="3" t="s">
        <v>46</v>
      </c>
      <c r="E10" s="3" t="s">
        <v>47</v>
      </c>
      <c r="F10" s="3" t="s">
        <v>29</v>
      </c>
      <c r="G10" s="3" t="s">
        <v>48</v>
      </c>
      <c r="H10" s="3" t="s">
        <v>49</v>
      </c>
    </row>
    <row r="11" spans="1:8" ht="32" x14ac:dyDescent="0.2">
      <c r="A11" s="3">
        <v>7</v>
      </c>
      <c r="B11" s="3" t="s">
        <v>50</v>
      </c>
      <c r="C11" s="3" t="s">
        <v>51</v>
      </c>
      <c r="D11" s="3" t="s">
        <v>52</v>
      </c>
      <c r="E11" s="3" t="s">
        <v>53</v>
      </c>
      <c r="F11" s="3" t="s">
        <v>29</v>
      </c>
      <c r="G11" s="3" t="s">
        <v>54</v>
      </c>
      <c r="H11" s="3" t="s">
        <v>55</v>
      </c>
    </row>
    <row r="12" spans="1:8" ht="32" x14ac:dyDescent="0.2">
      <c r="A12" s="3">
        <v>8</v>
      </c>
      <c r="B12" s="3" t="s">
        <v>56</v>
      </c>
      <c r="C12" s="3" t="s">
        <v>57</v>
      </c>
      <c r="D12" s="3" t="s">
        <v>58</v>
      </c>
      <c r="E12" s="3" t="s">
        <v>59</v>
      </c>
      <c r="F12" s="3" t="s">
        <v>60</v>
      </c>
      <c r="G12" s="3" t="s">
        <v>61</v>
      </c>
      <c r="H12" s="3" t="s">
        <v>62</v>
      </c>
    </row>
    <row r="13" spans="1:8" ht="32" x14ac:dyDescent="0.2">
      <c r="A13" s="3">
        <v>9</v>
      </c>
      <c r="B13" s="3" t="s">
        <v>63</v>
      </c>
      <c r="C13" s="3" t="s">
        <v>59</v>
      </c>
      <c r="D13" s="3" t="s">
        <v>64</v>
      </c>
      <c r="E13" s="3" t="s">
        <v>65</v>
      </c>
      <c r="F13" s="3" t="s">
        <v>66</v>
      </c>
      <c r="G13" s="3" t="s">
        <v>67</v>
      </c>
      <c r="H13" s="3" t="s">
        <v>68</v>
      </c>
    </row>
    <row r="14" spans="1:8" ht="32" x14ac:dyDescent="0.2">
      <c r="A14" s="3">
        <v>10</v>
      </c>
      <c r="B14" s="3" t="s">
        <v>69</v>
      </c>
      <c r="C14" s="3" t="s">
        <v>70</v>
      </c>
      <c r="D14" s="3" t="s">
        <v>71</v>
      </c>
      <c r="E14" s="3" t="s">
        <v>72</v>
      </c>
      <c r="F14" s="3" t="s">
        <v>73</v>
      </c>
      <c r="G14" s="3" t="s">
        <v>74</v>
      </c>
      <c r="H14" s="3" t="s">
        <v>75</v>
      </c>
    </row>
    <row r="15" spans="1:8" ht="32" x14ac:dyDescent="0.2">
      <c r="A15" s="3">
        <v>11</v>
      </c>
      <c r="B15" s="3" t="s">
        <v>76</v>
      </c>
      <c r="C15" s="3" t="s">
        <v>77</v>
      </c>
      <c r="D15" s="3" t="s">
        <v>78</v>
      </c>
      <c r="E15" s="3" t="s">
        <v>79</v>
      </c>
      <c r="F15" s="3" t="s">
        <v>80</v>
      </c>
      <c r="G15" s="3" t="s">
        <v>81</v>
      </c>
      <c r="H15" s="3" t="s">
        <v>82</v>
      </c>
    </row>
    <row r="16" spans="1:8" ht="32" x14ac:dyDescent="0.2">
      <c r="A16" s="3">
        <v>12</v>
      </c>
      <c r="B16" s="3" t="s">
        <v>83</v>
      </c>
      <c r="C16" s="3" t="s">
        <v>84</v>
      </c>
      <c r="D16" s="3" t="s">
        <v>85</v>
      </c>
      <c r="E16" s="3" t="s">
        <v>86</v>
      </c>
      <c r="F16" s="3" t="s">
        <v>87</v>
      </c>
      <c r="G16" s="3" t="s">
        <v>88</v>
      </c>
      <c r="H16" s="3" t="s">
        <v>89</v>
      </c>
    </row>
    <row r="17" spans="1:8" ht="32" x14ac:dyDescent="0.2">
      <c r="A17" s="3">
        <v>13</v>
      </c>
      <c r="B17" s="3" t="s">
        <v>90</v>
      </c>
      <c r="C17" s="3" t="s">
        <v>91</v>
      </c>
      <c r="D17" s="3" t="s">
        <v>92</v>
      </c>
      <c r="E17" s="3" t="s">
        <v>93</v>
      </c>
      <c r="F17" s="3" t="s">
        <v>94</v>
      </c>
      <c r="G17" s="3" t="s">
        <v>95</v>
      </c>
      <c r="H17" s="3" t="s">
        <v>96</v>
      </c>
    </row>
    <row r="18" spans="1:8" ht="32" x14ac:dyDescent="0.2">
      <c r="A18" s="3">
        <v>14</v>
      </c>
      <c r="B18" s="3" t="s">
        <v>97</v>
      </c>
      <c r="C18" s="3" t="s">
        <v>98</v>
      </c>
      <c r="D18" s="3" t="s">
        <v>99</v>
      </c>
      <c r="E18" s="3" t="s">
        <v>100</v>
      </c>
      <c r="F18" s="3" t="s">
        <v>15</v>
      </c>
      <c r="G18" s="3" t="s">
        <v>101</v>
      </c>
      <c r="H18" s="3" t="s">
        <v>102</v>
      </c>
    </row>
  </sheetData>
  <autoFilter ref="A4:H18" xr:uid="{00000000-0009-0000-0000-000000000000}"/>
  <mergeCells count="2">
    <mergeCell ref="B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topLeftCell="D1" workbookViewId="0">
      <pane ySplit="4" topLeftCell="A5" activePane="bottomLeft" state="frozen"/>
      <selection pane="bottomLeft" sqref="A1:J1"/>
    </sheetView>
  </sheetViews>
  <sheetFormatPr baseColWidth="10" defaultColWidth="8.83203125" defaultRowHeight="15" x14ac:dyDescent="0.2"/>
  <cols>
    <col min="1" max="1" width="13" customWidth="1"/>
    <col min="2" max="2" width="28" customWidth="1"/>
    <col min="3" max="3" width="48" customWidth="1"/>
    <col min="4" max="4" width="55" customWidth="1"/>
    <col min="5" max="5" width="40" customWidth="1"/>
    <col min="6" max="6" width="38" customWidth="1"/>
    <col min="7" max="7" width="36" customWidth="1"/>
    <col min="8" max="8" width="20" customWidth="1"/>
    <col min="9" max="9" width="18" customWidth="1"/>
    <col min="10" max="10" width="16" customWidth="1"/>
  </cols>
  <sheetData>
    <row r="1" spans="1:10" ht="21" x14ac:dyDescent="0.2">
      <c r="A1" s="19" t="s">
        <v>103</v>
      </c>
      <c r="B1" s="18"/>
      <c r="C1" s="18"/>
      <c r="D1" s="18"/>
      <c r="E1" s="18"/>
      <c r="F1" s="18"/>
      <c r="G1" s="18"/>
      <c r="H1" s="18"/>
      <c r="I1" s="18"/>
      <c r="J1" s="18"/>
    </row>
    <row r="4" spans="1:10" ht="16" x14ac:dyDescent="0.2">
      <c r="A4" s="14" t="s">
        <v>104</v>
      </c>
      <c r="B4" s="14" t="s">
        <v>105</v>
      </c>
      <c r="C4" s="14" t="s">
        <v>106</v>
      </c>
      <c r="D4" s="14" t="s">
        <v>107</v>
      </c>
      <c r="E4" s="14" t="s">
        <v>108</v>
      </c>
      <c r="F4" s="14" t="s">
        <v>109</v>
      </c>
      <c r="G4" s="14" t="s">
        <v>110</v>
      </c>
      <c r="H4" s="14" t="s">
        <v>111</v>
      </c>
      <c r="I4" s="14" t="s">
        <v>112</v>
      </c>
      <c r="J4" s="14" t="s">
        <v>113</v>
      </c>
    </row>
    <row r="5" spans="1:10" ht="32" x14ac:dyDescent="0.2">
      <c r="A5" s="3" t="s">
        <v>114</v>
      </c>
      <c r="B5" s="3" t="s">
        <v>115</v>
      </c>
      <c r="C5" s="3" t="s">
        <v>116</v>
      </c>
      <c r="D5" s="3" t="s">
        <v>117</v>
      </c>
      <c r="E5" s="3" t="s">
        <v>118</v>
      </c>
      <c r="F5" s="3" t="s">
        <v>119</v>
      </c>
      <c r="G5" s="3" t="s">
        <v>120</v>
      </c>
      <c r="H5" s="3" t="s">
        <v>15</v>
      </c>
      <c r="I5" s="3" t="s">
        <v>121</v>
      </c>
      <c r="J5" s="3" t="s">
        <v>122</v>
      </c>
    </row>
    <row r="6" spans="1:10" ht="32" x14ac:dyDescent="0.2">
      <c r="A6" s="3" t="s">
        <v>123</v>
      </c>
      <c r="B6" s="3" t="s">
        <v>124</v>
      </c>
      <c r="C6" s="3" t="s">
        <v>125</v>
      </c>
      <c r="D6" s="3" t="s">
        <v>126</v>
      </c>
      <c r="E6" s="3" t="s">
        <v>127</v>
      </c>
      <c r="F6" s="3" t="s">
        <v>128</v>
      </c>
      <c r="G6" s="3" t="s">
        <v>129</v>
      </c>
      <c r="H6" s="3" t="s">
        <v>29</v>
      </c>
      <c r="I6" s="3" t="s">
        <v>121</v>
      </c>
      <c r="J6" s="3" t="s">
        <v>122</v>
      </c>
    </row>
    <row r="7" spans="1:10" ht="32" x14ac:dyDescent="0.2">
      <c r="A7" s="3" t="s">
        <v>130</v>
      </c>
      <c r="B7" s="3" t="s">
        <v>131</v>
      </c>
      <c r="C7" s="3" t="s">
        <v>132</v>
      </c>
      <c r="D7" s="3" t="s">
        <v>133</v>
      </c>
      <c r="E7" s="3" t="s">
        <v>134</v>
      </c>
      <c r="F7" s="3" t="s">
        <v>135</v>
      </c>
      <c r="G7" s="3" t="s">
        <v>136</v>
      </c>
      <c r="H7" s="3" t="s">
        <v>29</v>
      </c>
      <c r="I7" s="3" t="s">
        <v>121</v>
      </c>
      <c r="J7" s="3" t="s">
        <v>122</v>
      </c>
    </row>
    <row r="8" spans="1:10" ht="32" x14ac:dyDescent="0.2">
      <c r="A8" s="3" t="s">
        <v>137</v>
      </c>
      <c r="B8" s="3" t="s">
        <v>138</v>
      </c>
      <c r="C8" s="3" t="s">
        <v>139</v>
      </c>
      <c r="D8" s="3" t="s">
        <v>140</v>
      </c>
      <c r="E8" s="3" t="s">
        <v>141</v>
      </c>
      <c r="F8" s="3" t="s">
        <v>142</v>
      </c>
      <c r="G8" s="3" t="s">
        <v>143</v>
      </c>
      <c r="H8" s="3" t="s">
        <v>60</v>
      </c>
      <c r="I8" s="3" t="s">
        <v>121</v>
      </c>
      <c r="J8" s="3" t="s">
        <v>122</v>
      </c>
    </row>
    <row r="9" spans="1:10" ht="32" x14ac:dyDescent="0.2">
      <c r="A9" s="3" t="s">
        <v>144</v>
      </c>
      <c r="B9" s="3" t="s">
        <v>145</v>
      </c>
      <c r="C9" s="3" t="s">
        <v>146</v>
      </c>
      <c r="D9" s="3" t="s">
        <v>147</v>
      </c>
      <c r="E9" s="3" t="s">
        <v>148</v>
      </c>
      <c r="F9" s="3" t="s">
        <v>149</v>
      </c>
      <c r="G9" s="3" t="s">
        <v>150</v>
      </c>
      <c r="H9" s="3" t="s">
        <v>80</v>
      </c>
      <c r="I9" s="3" t="s">
        <v>121</v>
      </c>
      <c r="J9" s="3" t="s">
        <v>122</v>
      </c>
    </row>
    <row r="10" spans="1:10" ht="32" x14ac:dyDescent="0.2">
      <c r="A10" s="3" t="s">
        <v>151</v>
      </c>
      <c r="B10" s="3" t="s">
        <v>152</v>
      </c>
      <c r="C10" s="3" t="s">
        <v>153</v>
      </c>
      <c r="D10" s="3" t="s">
        <v>154</v>
      </c>
      <c r="E10" s="3" t="s">
        <v>155</v>
      </c>
      <c r="F10" s="3" t="s">
        <v>156</v>
      </c>
      <c r="G10" s="3" t="s">
        <v>157</v>
      </c>
      <c r="H10" s="3" t="s">
        <v>60</v>
      </c>
      <c r="I10" s="3" t="s">
        <v>121</v>
      </c>
      <c r="J10" s="3" t="s">
        <v>122</v>
      </c>
    </row>
    <row r="11" spans="1:10" ht="32" x14ac:dyDescent="0.2">
      <c r="A11" s="3" t="s">
        <v>158</v>
      </c>
      <c r="B11" s="3" t="s">
        <v>159</v>
      </c>
      <c r="C11" s="3" t="s">
        <v>160</v>
      </c>
      <c r="D11" s="3" t="s">
        <v>161</v>
      </c>
      <c r="E11" s="3" t="s">
        <v>162</v>
      </c>
      <c r="F11" s="3" t="s">
        <v>163</v>
      </c>
      <c r="G11" s="3" t="s">
        <v>164</v>
      </c>
      <c r="H11" s="3" t="s">
        <v>60</v>
      </c>
      <c r="I11" s="3" t="s">
        <v>121</v>
      </c>
      <c r="J11" s="3" t="s">
        <v>122</v>
      </c>
    </row>
    <row r="12" spans="1:10" ht="32" x14ac:dyDescent="0.2">
      <c r="A12" s="3" t="s">
        <v>165</v>
      </c>
      <c r="B12" s="3" t="s">
        <v>166</v>
      </c>
      <c r="C12" s="3" t="s">
        <v>167</v>
      </c>
      <c r="D12" s="3" t="s">
        <v>168</v>
      </c>
      <c r="E12" s="3" t="s">
        <v>169</v>
      </c>
      <c r="F12" s="3" t="s">
        <v>170</v>
      </c>
      <c r="G12" s="3" t="s">
        <v>171</v>
      </c>
      <c r="H12" s="3" t="s">
        <v>172</v>
      </c>
      <c r="I12" s="3" t="s">
        <v>173</v>
      </c>
      <c r="J12" s="3" t="s">
        <v>122</v>
      </c>
    </row>
    <row r="13" spans="1:10" ht="32" x14ac:dyDescent="0.2">
      <c r="A13" s="3" t="s">
        <v>174</v>
      </c>
      <c r="B13" s="3" t="s">
        <v>175</v>
      </c>
      <c r="C13" s="3" t="s">
        <v>176</v>
      </c>
      <c r="D13" s="3" t="s">
        <v>177</v>
      </c>
      <c r="E13" s="3" t="s">
        <v>178</v>
      </c>
      <c r="F13" s="3" t="s">
        <v>179</v>
      </c>
      <c r="G13" s="3" t="s">
        <v>180</v>
      </c>
      <c r="H13" s="3" t="s">
        <v>181</v>
      </c>
      <c r="I13" s="3" t="s">
        <v>182</v>
      </c>
      <c r="J13" s="3" t="s">
        <v>122</v>
      </c>
    </row>
    <row r="14" spans="1:10" ht="32" x14ac:dyDescent="0.2">
      <c r="A14" s="3" t="s">
        <v>183</v>
      </c>
      <c r="B14" s="3" t="s">
        <v>184</v>
      </c>
      <c r="C14" s="3" t="s">
        <v>185</v>
      </c>
      <c r="D14" s="3" t="s">
        <v>186</v>
      </c>
      <c r="E14" s="3" t="s">
        <v>187</v>
      </c>
      <c r="F14" s="3" t="s">
        <v>188</v>
      </c>
      <c r="G14" s="3" t="s">
        <v>189</v>
      </c>
      <c r="H14" s="3" t="s">
        <v>190</v>
      </c>
      <c r="I14" s="3" t="s">
        <v>191</v>
      </c>
      <c r="J14" s="3" t="s">
        <v>122</v>
      </c>
    </row>
    <row r="15" spans="1:10" ht="32" x14ac:dyDescent="0.2">
      <c r="A15" s="3" t="s">
        <v>192</v>
      </c>
      <c r="B15" s="3" t="s">
        <v>193</v>
      </c>
      <c r="C15" s="3" t="s">
        <v>194</v>
      </c>
      <c r="D15" s="3" t="s">
        <v>195</v>
      </c>
      <c r="E15" s="3" t="s">
        <v>196</v>
      </c>
      <c r="F15" s="3" t="s">
        <v>197</v>
      </c>
      <c r="G15" s="3" t="s">
        <v>198</v>
      </c>
      <c r="H15" s="3" t="s">
        <v>199</v>
      </c>
      <c r="I15" s="3" t="s">
        <v>121</v>
      </c>
      <c r="J15" s="3" t="s">
        <v>122</v>
      </c>
    </row>
    <row r="16" spans="1:10" ht="32" x14ac:dyDescent="0.2">
      <c r="A16" s="3" t="s">
        <v>200</v>
      </c>
      <c r="B16" s="3" t="s">
        <v>201</v>
      </c>
      <c r="C16" s="3" t="s">
        <v>202</v>
      </c>
      <c r="D16" s="3" t="s">
        <v>203</v>
      </c>
      <c r="E16" s="3" t="s">
        <v>204</v>
      </c>
      <c r="F16" s="3" t="s">
        <v>205</v>
      </c>
      <c r="G16" s="3" t="s">
        <v>206</v>
      </c>
      <c r="H16" s="3" t="s">
        <v>207</v>
      </c>
      <c r="I16" s="3" t="s">
        <v>208</v>
      </c>
      <c r="J16" s="3" t="s">
        <v>122</v>
      </c>
    </row>
    <row r="17" spans="1:10" ht="32" x14ac:dyDescent="0.2">
      <c r="A17" s="3" t="s">
        <v>209</v>
      </c>
      <c r="B17" s="3" t="s">
        <v>210</v>
      </c>
      <c r="C17" s="3" t="s">
        <v>211</v>
      </c>
      <c r="D17" s="3" t="s">
        <v>212</v>
      </c>
      <c r="E17" s="3" t="s">
        <v>213</v>
      </c>
      <c r="F17" s="3" t="s">
        <v>214</v>
      </c>
      <c r="G17" s="3" t="s">
        <v>215</v>
      </c>
      <c r="H17" s="3" t="s">
        <v>181</v>
      </c>
      <c r="I17" s="3" t="s">
        <v>121</v>
      </c>
      <c r="J17" s="3" t="s">
        <v>122</v>
      </c>
    </row>
    <row r="18" spans="1:10" ht="32" x14ac:dyDescent="0.2">
      <c r="A18" s="3" t="s">
        <v>216</v>
      </c>
      <c r="B18" s="3" t="s">
        <v>217</v>
      </c>
      <c r="C18" s="3" t="s">
        <v>218</v>
      </c>
      <c r="D18" s="3" t="s">
        <v>219</v>
      </c>
      <c r="E18" s="3" t="s">
        <v>220</v>
      </c>
      <c r="F18" s="3" t="s">
        <v>221</v>
      </c>
      <c r="G18" s="3" t="s">
        <v>222</v>
      </c>
      <c r="H18" s="3" t="s">
        <v>181</v>
      </c>
      <c r="I18" s="3" t="s">
        <v>223</v>
      </c>
      <c r="J18" s="3" t="s">
        <v>122</v>
      </c>
    </row>
  </sheetData>
  <autoFilter ref="A4:J17" xr:uid="{00000000-0009-0000-0000-000001000000}"/>
  <mergeCells count="1">
    <mergeCell ref="A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showGridLines="0" workbookViewId="0">
      <pane ySplit="4" topLeftCell="A5" activePane="bottomLeft" state="frozen"/>
      <selection pane="bottomLeft" sqref="A1:I1"/>
    </sheetView>
  </sheetViews>
  <sheetFormatPr baseColWidth="10" defaultColWidth="8.83203125" defaultRowHeight="15" x14ac:dyDescent="0.2"/>
  <cols>
    <col min="1" max="1" width="25" customWidth="1"/>
    <col min="2" max="2" width="65" customWidth="1"/>
    <col min="3" max="3" width="35" customWidth="1"/>
    <col min="4" max="4" width="16" customWidth="1"/>
    <col min="5" max="5" width="48" customWidth="1"/>
    <col min="6" max="6" width="25" customWidth="1"/>
    <col min="7" max="7" width="23" customWidth="1"/>
    <col min="8" max="8" width="18" customWidth="1"/>
    <col min="9" max="9" width="12" customWidth="1"/>
  </cols>
  <sheetData>
    <row r="1" spans="1:9" ht="21" x14ac:dyDescent="0.2">
      <c r="A1" s="19" t="s">
        <v>224</v>
      </c>
      <c r="B1" s="18"/>
      <c r="C1" s="18"/>
      <c r="D1" s="18"/>
      <c r="E1" s="18"/>
      <c r="F1" s="18"/>
      <c r="G1" s="18"/>
      <c r="H1" s="18"/>
      <c r="I1" s="18"/>
    </row>
    <row r="4" spans="1:9" ht="16" x14ac:dyDescent="0.2">
      <c r="A4" s="2" t="s">
        <v>225</v>
      </c>
      <c r="B4" s="2" t="s">
        <v>226</v>
      </c>
      <c r="C4" s="2" t="s">
        <v>227</v>
      </c>
      <c r="D4" s="2" t="s">
        <v>228</v>
      </c>
      <c r="E4" s="2" t="s">
        <v>229</v>
      </c>
      <c r="F4" s="2" t="s">
        <v>7</v>
      </c>
      <c r="G4" s="2"/>
      <c r="H4" s="2"/>
      <c r="I4" s="2"/>
    </row>
    <row r="5" spans="1:9" ht="16" x14ac:dyDescent="0.2">
      <c r="A5" s="3" t="s">
        <v>230</v>
      </c>
      <c r="B5" s="3" t="s">
        <v>231</v>
      </c>
      <c r="C5" s="3" t="s">
        <v>232</v>
      </c>
      <c r="D5" s="3" t="s">
        <v>233</v>
      </c>
      <c r="E5" s="3" t="s">
        <v>234</v>
      </c>
      <c r="F5" s="3" t="s">
        <v>235</v>
      </c>
      <c r="G5" s="3"/>
      <c r="H5" s="3"/>
      <c r="I5" s="3"/>
    </row>
    <row r="6" spans="1:9" ht="16" x14ac:dyDescent="0.2">
      <c r="A6" s="3" t="s">
        <v>236</v>
      </c>
      <c r="B6" s="3" t="s">
        <v>237</v>
      </c>
      <c r="C6" s="3" t="s">
        <v>238</v>
      </c>
      <c r="D6" s="3" t="s">
        <v>233</v>
      </c>
      <c r="E6" s="3" t="s">
        <v>239</v>
      </c>
      <c r="F6" s="3" t="s">
        <v>240</v>
      </c>
      <c r="G6" s="3"/>
      <c r="H6" s="3"/>
      <c r="I6" s="3"/>
    </row>
    <row r="7" spans="1:9" ht="32" x14ac:dyDescent="0.2">
      <c r="A7" s="3" t="s">
        <v>241</v>
      </c>
      <c r="B7" s="3" t="s">
        <v>242</v>
      </c>
      <c r="C7" s="3" t="s">
        <v>243</v>
      </c>
      <c r="D7" s="3" t="s">
        <v>233</v>
      </c>
      <c r="E7" s="3" t="s">
        <v>244</v>
      </c>
      <c r="F7" s="3" t="s">
        <v>245</v>
      </c>
      <c r="G7" s="3"/>
      <c r="H7" s="3"/>
      <c r="I7" s="3"/>
    </row>
    <row r="8" spans="1:9" ht="16" x14ac:dyDescent="0.2">
      <c r="A8" s="3" t="s">
        <v>246</v>
      </c>
      <c r="B8" s="3" t="s">
        <v>247</v>
      </c>
      <c r="C8" s="3" t="s">
        <v>248</v>
      </c>
      <c r="D8" s="3" t="s">
        <v>233</v>
      </c>
      <c r="E8" s="3" t="s">
        <v>249</v>
      </c>
      <c r="F8" s="3" t="s">
        <v>250</v>
      </c>
      <c r="G8" s="3"/>
      <c r="H8" s="3"/>
      <c r="I8" s="3"/>
    </row>
    <row r="9" spans="1:9" ht="16" x14ac:dyDescent="0.2">
      <c r="A9" s="3" t="s">
        <v>251</v>
      </c>
      <c r="B9" s="3" t="s">
        <v>252</v>
      </c>
      <c r="C9" s="3" t="s">
        <v>253</v>
      </c>
      <c r="D9" s="3" t="s">
        <v>233</v>
      </c>
      <c r="E9" s="3" t="s">
        <v>254</v>
      </c>
      <c r="F9" s="3" t="s">
        <v>255</v>
      </c>
      <c r="G9" s="3"/>
      <c r="H9" s="3"/>
      <c r="I9" s="3"/>
    </row>
    <row r="10" spans="1:9" ht="32" x14ac:dyDescent="0.2">
      <c r="A10" s="3" t="s">
        <v>256</v>
      </c>
      <c r="B10" s="3" t="s">
        <v>257</v>
      </c>
      <c r="C10" s="3" t="s">
        <v>258</v>
      </c>
      <c r="D10" s="3" t="s">
        <v>233</v>
      </c>
      <c r="E10" s="3" t="s">
        <v>259</v>
      </c>
      <c r="F10" s="3" t="s">
        <v>260</v>
      </c>
      <c r="G10" s="3"/>
      <c r="H10" s="3"/>
      <c r="I10" s="3"/>
    </row>
    <row r="11" spans="1:9" ht="32" x14ac:dyDescent="0.2">
      <c r="A11" s="3" t="s">
        <v>261</v>
      </c>
      <c r="B11" s="3" t="s">
        <v>262</v>
      </c>
      <c r="C11" s="3" t="s">
        <v>263</v>
      </c>
      <c r="D11" s="3" t="s">
        <v>233</v>
      </c>
      <c r="E11" s="3" t="s">
        <v>264</v>
      </c>
      <c r="F11" s="3" t="s">
        <v>265</v>
      </c>
      <c r="G11" s="3"/>
      <c r="H11" s="3"/>
      <c r="I11" s="3"/>
    </row>
    <row r="12" spans="1:9" ht="16" x14ac:dyDescent="0.2">
      <c r="A12" s="3" t="s">
        <v>266</v>
      </c>
      <c r="B12" s="3" t="s">
        <v>267</v>
      </c>
      <c r="C12" s="3" t="s">
        <v>263</v>
      </c>
      <c r="D12" s="3" t="s">
        <v>233</v>
      </c>
      <c r="E12" s="3" t="s">
        <v>268</v>
      </c>
      <c r="F12" s="3" t="s">
        <v>269</v>
      </c>
      <c r="G12" s="3"/>
      <c r="H12" s="3"/>
      <c r="I12" s="3"/>
    </row>
    <row r="13" spans="1:9" ht="16" x14ac:dyDescent="0.2">
      <c r="A13" s="3" t="s">
        <v>270</v>
      </c>
      <c r="B13" s="3" t="s">
        <v>271</v>
      </c>
      <c r="C13" s="3" t="s">
        <v>272</v>
      </c>
      <c r="D13" s="3" t="s">
        <v>233</v>
      </c>
      <c r="E13" s="3" t="s">
        <v>273</v>
      </c>
      <c r="F13" s="3" t="s">
        <v>270</v>
      </c>
      <c r="G13" s="3"/>
      <c r="H13" s="3"/>
      <c r="I13" s="3"/>
    </row>
    <row r="14" spans="1:9" ht="16" x14ac:dyDescent="0.2">
      <c r="A14" s="3" t="s">
        <v>274</v>
      </c>
      <c r="B14" s="3" t="s">
        <v>275</v>
      </c>
      <c r="C14" s="3" t="s">
        <v>272</v>
      </c>
      <c r="D14" s="3" t="s">
        <v>233</v>
      </c>
      <c r="E14" s="3" t="s">
        <v>276</v>
      </c>
      <c r="F14" s="3" t="s">
        <v>274</v>
      </c>
      <c r="G14" s="3"/>
      <c r="H14" s="3"/>
      <c r="I14" s="3"/>
    </row>
    <row r="15" spans="1:9" ht="16" x14ac:dyDescent="0.2">
      <c r="A15" s="3" t="s">
        <v>277</v>
      </c>
      <c r="B15" s="3" t="s">
        <v>278</v>
      </c>
      <c r="C15" s="3" t="s">
        <v>279</v>
      </c>
      <c r="D15" s="3" t="s">
        <v>233</v>
      </c>
      <c r="E15" s="3" t="s">
        <v>280</v>
      </c>
      <c r="F15" s="3" t="s">
        <v>44</v>
      </c>
      <c r="G15" s="3"/>
      <c r="H15" s="3"/>
      <c r="I15" s="3"/>
    </row>
    <row r="16" spans="1:9" ht="16" x14ac:dyDescent="0.2">
      <c r="A16" s="3" t="s">
        <v>281</v>
      </c>
      <c r="B16" s="3" t="s">
        <v>282</v>
      </c>
      <c r="C16" s="3" t="s">
        <v>87</v>
      </c>
      <c r="D16" s="3" t="s">
        <v>283</v>
      </c>
      <c r="E16" s="3" t="s">
        <v>284</v>
      </c>
      <c r="F16" s="3" t="s">
        <v>281</v>
      </c>
      <c r="G16" s="3"/>
      <c r="H16" s="3"/>
      <c r="I16" s="3"/>
    </row>
    <row r="17" spans="1:9" ht="16" x14ac:dyDescent="0.2">
      <c r="A17" s="3" t="s">
        <v>50</v>
      </c>
      <c r="B17" s="3" t="s">
        <v>285</v>
      </c>
      <c r="C17" s="3" t="s">
        <v>87</v>
      </c>
      <c r="D17" s="3" t="s">
        <v>283</v>
      </c>
      <c r="E17" s="3" t="s">
        <v>286</v>
      </c>
      <c r="F17" s="3" t="s">
        <v>50</v>
      </c>
      <c r="G17" s="3"/>
      <c r="H17" s="3"/>
      <c r="I17" s="3"/>
    </row>
    <row r="18" spans="1:9" ht="16" x14ac:dyDescent="0.2">
      <c r="A18" s="3" t="s">
        <v>287</v>
      </c>
      <c r="B18" s="3" t="s">
        <v>288</v>
      </c>
      <c r="C18" s="3" t="s">
        <v>272</v>
      </c>
      <c r="D18" s="3" t="s">
        <v>233</v>
      </c>
      <c r="E18" s="3" t="s">
        <v>289</v>
      </c>
      <c r="F18" s="3" t="s">
        <v>290</v>
      </c>
      <c r="G18" s="3"/>
      <c r="H18" s="3"/>
      <c r="I18" s="3"/>
    </row>
    <row r="19" spans="1:9" ht="32" x14ac:dyDescent="0.2">
      <c r="A19" s="3" t="s">
        <v>291</v>
      </c>
      <c r="B19" s="3" t="s">
        <v>292</v>
      </c>
      <c r="C19" s="3" t="s">
        <v>293</v>
      </c>
      <c r="D19" s="3" t="s">
        <v>233</v>
      </c>
      <c r="E19" s="3" t="s">
        <v>294</v>
      </c>
      <c r="F19" s="3" t="s">
        <v>291</v>
      </c>
      <c r="G19" s="3"/>
      <c r="H19" s="3"/>
      <c r="I19" s="3"/>
    </row>
    <row r="20" spans="1:9" ht="16" x14ac:dyDescent="0.2">
      <c r="A20" s="3" t="s">
        <v>295</v>
      </c>
      <c r="B20" s="3" t="s">
        <v>296</v>
      </c>
      <c r="C20" s="3" t="s">
        <v>297</v>
      </c>
      <c r="D20" s="3" t="s">
        <v>283</v>
      </c>
      <c r="E20" s="3" t="s">
        <v>298</v>
      </c>
      <c r="F20" s="3" t="s">
        <v>295</v>
      </c>
      <c r="G20" s="3"/>
      <c r="H20" s="3"/>
      <c r="I20" s="3"/>
    </row>
    <row r="21" spans="1:9" x14ac:dyDescent="0.2">
      <c r="A21" s="3"/>
      <c r="B21" s="3"/>
      <c r="C21" s="3"/>
      <c r="D21" s="3"/>
      <c r="E21" s="3"/>
      <c r="F21" s="3"/>
      <c r="G21" s="3"/>
      <c r="H21" s="3"/>
      <c r="I21" s="3"/>
    </row>
    <row r="22" spans="1:9" x14ac:dyDescent="0.2">
      <c r="A22" s="3"/>
      <c r="B22" s="3"/>
      <c r="C22" s="3"/>
      <c r="D22" s="3"/>
      <c r="E22" s="3"/>
      <c r="F22" s="3"/>
      <c r="G22" s="3"/>
      <c r="H22" s="3"/>
      <c r="I22" s="3"/>
    </row>
    <row r="23" spans="1:9" x14ac:dyDescent="0.2">
      <c r="A23" s="3"/>
      <c r="B23" s="3"/>
      <c r="C23" s="3"/>
      <c r="D23" s="3"/>
      <c r="E23" s="3"/>
      <c r="F23" s="3"/>
      <c r="G23" s="3"/>
      <c r="H23" s="3"/>
      <c r="I23" s="3"/>
    </row>
  </sheetData>
  <autoFilter ref="A4:F19" xr:uid="{00000000-0009-0000-0000-000002000000}"/>
  <mergeCells count="1">
    <mergeCell ref="A1:I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showGridLines="0" workbookViewId="0">
      <pane ySplit="4" topLeftCell="A5" activePane="bottomLeft" state="frozen"/>
      <selection pane="bottomLeft" sqref="A1:J1"/>
    </sheetView>
  </sheetViews>
  <sheetFormatPr baseColWidth="10" defaultColWidth="8.83203125" defaultRowHeight="15" x14ac:dyDescent="0.2"/>
  <cols>
    <col min="1" max="1" width="14" customWidth="1"/>
    <col min="2" max="2" width="18" customWidth="1"/>
    <col min="3" max="3" width="20" customWidth="1"/>
    <col min="4" max="4" width="24" customWidth="1"/>
    <col min="5" max="5" width="28" customWidth="1"/>
    <col min="6" max="6" width="32" customWidth="1"/>
    <col min="7" max="7" width="18" customWidth="1"/>
    <col min="8" max="8" width="16" customWidth="1"/>
    <col min="9" max="10" width="18" customWidth="1"/>
    <col min="11" max="11" width="40" customWidth="1"/>
    <col min="12" max="12" width="20" customWidth="1"/>
    <col min="13" max="13" width="12" customWidth="1"/>
  </cols>
  <sheetData>
    <row r="1" spans="1:13" ht="21" x14ac:dyDescent="0.2">
      <c r="A1" s="19" t="s">
        <v>299</v>
      </c>
      <c r="B1" s="18"/>
      <c r="C1" s="18"/>
      <c r="D1" s="18"/>
      <c r="E1" s="18"/>
      <c r="F1" s="18"/>
      <c r="G1" s="18"/>
      <c r="H1" s="18"/>
      <c r="I1" s="18"/>
      <c r="J1" s="18"/>
    </row>
    <row r="4" spans="1:13" ht="16" x14ac:dyDescent="0.2">
      <c r="A4" s="2" t="s">
        <v>300</v>
      </c>
      <c r="B4" s="2" t="s">
        <v>301</v>
      </c>
      <c r="C4" s="2" t="s">
        <v>302</v>
      </c>
      <c r="D4" s="2" t="s">
        <v>225</v>
      </c>
      <c r="E4" s="2" t="s">
        <v>303</v>
      </c>
      <c r="F4" s="2" t="s">
        <v>227</v>
      </c>
      <c r="G4" s="2" t="s">
        <v>304</v>
      </c>
      <c r="H4" s="2" t="s">
        <v>305</v>
      </c>
      <c r="I4" s="2" t="s">
        <v>306</v>
      </c>
      <c r="J4" s="2" t="s">
        <v>307</v>
      </c>
      <c r="K4" s="2" t="s">
        <v>308</v>
      </c>
      <c r="L4" s="2" t="s">
        <v>309</v>
      </c>
      <c r="M4" s="2" t="s">
        <v>310</v>
      </c>
    </row>
    <row r="5" spans="1:13" ht="16" x14ac:dyDescent="0.2">
      <c r="A5" s="3" t="s">
        <v>311</v>
      </c>
      <c r="B5" s="3" t="s">
        <v>312</v>
      </c>
      <c r="C5" s="3" t="s">
        <v>313</v>
      </c>
      <c r="D5" s="3" t="s">
        <v>236</v>
      </c>
      <c r="E5" s="3" t="s">
        <v>314</v>
      </c>
      <c r="F5" s="4" t="s">
        <v>315</v>
      </c>
      <c r="G5" s="3"/>
      <c r="H5" s="3"/>
      <c r="I5" s="3" t="s">
        <v>316</v>
      </c>
      <c r="J5" s="3"/>
      <c r="K5" s="3" t="s">
        <v>317</v>
      </c>
      <c r="L5" s="3"/>
      <c r="M5" s="3" t="s">
        <v>318</v>
      </c>
    </row>
    <row r="6" spans="1:13" ht="16" x14ac:dyDescent="0.2">
      <c r="A6" s="3" t="s">
        <v>319</v>
      </c>
      <c r="B6" s="3" t="s">
        <v>312</v>
      </c>
      <c r="C6" s="3" t="s">
        <v>313</v>
      </c>
      <c r="D6" s="3" t="s">
        <v>320</v>
      </c>
      <c r="E6" s="3" t="s">
        <v>321</v>
      </c>
      <c r="F6" s="4" t="s">
        <v>255</v>
      </c>
      <c r="G6" s="3"/>
      <c r="H6" s="3"/>
      <c r="I6" s="3" t="s">
        <v>316</v>
      </c>
      <c r="J6" s="3"/>
      <c r="K6" s="3" t="s">
        <v>322</v>
      </c>
      <c r="L6" s="3"/>
      <c r="M6" s="3" t="s">
        <v>318</v>
      </c>
    </row>
    <row r="7" spans="1:13" ht="32" x14ac:dyDescent="0.2">
      <c r="A7" s="3" t="s">
        <v>323</v>
      </c>
      <c r="B7" s="3" t="s">
        <v>312</v>
      </c>
      <c r="C7" s="3" t="s">
        <v>313</v>
      </c>
      <c r="D7" s="3" t="s">
        <v>324</v>
      </c>
      <c r="E7" s="3" t="s">
        <v>325</v>
      </c>
      <c r="F7" s="4" t="s">
        <v>326</v>
      </c>
      <c r="G7" s="3"/>
      <c r="H7" s="3"/>
      <c r="I7" s="3" t="s">
        <v>316</v>
      </c>
      <c r="J7" s="3"/>
      <c r="K7" s="3" t="s">
        <v>327</v>
      </c>
      <c r="L7" s="3"/>
      <c r="M7" s="3" t="s">
        <v>318</v>
      </c>
    </row>
    <row r="8" spans="1:13" ht="16" x14ac:dyDescent="0.2">
      <c r="A8" s="3" t="s">
        <v>328</v>
      </c>
      <c r="B8" s="3" t="s">
        <v>312</v>
      </c>
      <c r="C8" s="3" t="s">
        <v>329</v>
      </c>
      <c r="D8" s="3" t="s">
        <v>270</v>
      </c>
      <c r="E8" s="3" t="s">
        <v>330</v>
      </c>
      <c r="F8" s="4" t="s">
        <v>331</v>
      </c>
      <c r="G8" s="3"/>
      <c r="H8" s="3"/>
      <c r="I8" s="3" t="s">
        <v>316</v>
      </c>
      <c r="J8" s="3"/>
      <c r="K8" s="3" t="s">
        <v>332</v>
      </c>
      <c r="L8" s="3"/>
      <c r="M8" s="3" t="s">
        <v>318</v>
      </c>
    </row>
    <row r="9" spans="1:13" ht="16" x14ac:dyDescent="0.2">
      <c r="A9" s="3" t="s">
        <v>333</v>
      </c>
      <c r="B9" s="3" t="s">
        <v>312</v>
      </c>
      <c r="C9" s="3" t="s">
        <v>329</v>
      </c>
      <c r="D9" s="3" t="s">
        <v>334</v>
      </c>
      <c r="E9" s="3" t="s">
        <v>330</v>
      </c>
      <c r="F9" s="4" t="s">
        <v>331</v>
      </c>
      <c r="G9" s="3"/>
      <c r="H9" s="3"/>
      <c r="I9" s="3" t="s">
        <v>316</v>
      </c>
      <c r="J9" s="3"/>
      <c r="K9" s="3" t="s">
        <v>332</v>
      </c>
      <c r="L9" s="3"/>
      <c r="M9" s="3" t="s">
        <v>318</v>
      </c>
    </row>
    <row r="10" spans="1:13" ht="16" x14ac:dyDescent="0.2">
      <c r="A10" s="3" t="s">
        <v>335</v>
      </c>
      <c r="B10" s="3" t="s">
        <v>312</v>
      </c>
      <c r="C10" s="3" t="s">
        <v>329</v>
      </c>
      <c r="D10" s="3" t="s">
        <v>274</v>
      </c>
      <c r="E10" s="3" t="s">
        <v>330</v>
      </c>
      <c r="F10" s="4" t="s">
        <v>331</v>
      </c>
      <c r="G10" s="3"/>
      <c r="H10" s="3"/>
      <c r="I10" s="3" t="s">
        <v>316</v>
      </c>
      <c r="J10" s="3"/>
      <c r="K10" s="3" t="s">
        <v>332</v>
      </c>
      <c r="L10" s="3"/>
      <c r="M10" s="3" t="s">
        <v>318</v>
      </c>
    </row>
    <row r="11" spans="1:13" ht="16" x14ac:dyDescent="0.2">
      <c r="A11" s="3" t="s">
        <v>336</v>
      </c>
      <c r="B11" s="3" t="s">
        <v>312</v>
      </c>
      <c r="C11" s="3" t="s">
        <v>329</v>
      </c>
      <c r="D11" s="3" t="s">
        <v>337</v>
      </c>
      <c r="E11" s="3" t="s">
        <v>330</v>
      </c>
      <c r="F11" s="4" t="s">
        <v>331</v>
      </c>
      <c r="G11" s="3"/>
      <c r="H11" s="3"/>
      <c r="I11" s="3" t="s">
        <v>316</v>
      </c>
      <c r="J11" s="3"/>
      <c r="K11" s="3" t="s">
        <v>332</v>
      </c>
      <c r="L11" s="3"/>
      <c r="M11" s="3" t="s">
        <v>318</v>
      </c>
    </row>
    <row r="12" spans="1:13" ht="16" x14ac:dyDescent="0.2">
      <c r="A12" s="3" t="s">
        <v>338</v>
      </c>
      <c r="B12" s="3" t="s">
        <v>312</v>
      </c>
      <c r="C12" s="3" t="s">
        <v>329</v>
      </c>
      <c r="D12" s="3" t="s">
        <v>339</v>
      </c>
      <c r="E12" s="3" t="s">
        <v>340</v>
      </c>
      <c r="F12" s="3" t="s">
        <v>341</v>
      </c>
      <c r="G12" s="3"/>
      <c r="H12" s="3"/>
      <c r="I12" s="3" t="s">
        <v>316</v>
      </c>
      <c r="J12" s="3"/>
      <c r="K12" s="3" t="s">
        <v>332</v>
      </c>
      <c r="L12" s="3"/>
      <c r="M12" s="3" t="s">
        <v>318</v>
      </c>
    </row>
    <row r="13" spans="1:13" ht="32" x14ac:dyDescent="0.2">
      <c r="A13" s="3" t="s">
        <v>342</v>
      </c>
      <c r="B13" s="3" t="s">
        <v>301</v>
      </c>
      <c r="C13" s="3" t="s">
        <v>343</v>
      </c>
      <c r="D13" s="3" t="s">
        <v>344</v>
      </c>
      <c r="E13" s="3" t="s">
        <v>345</v>
      </c>
      <c r="F13" s="3" t="s">
        <v>346</v>
      </c>
      <c r="G13" s="3"/>
      <c r="H13" s="3"/>
      <c r="I13" s="3" t="s">
        <v>316</v>
      </c>
      <c r="J13" s="3"/>
      <c r="K13" s="3" t="s">
        <v>347</v>
      </c>
      <c r="L13" s="3"/>
      <c r="M13" s="3" t="s">
        <v>318</v>
      </c>
    </row>
  </sheetData>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
  <sheetViews>
    <sheetView showGridLines="0" workbookViewId="0">
      <pane ySplit="4" topLeftCell="A5" activePane="bottomLeft" state="frozen"/>
      <selection pane="bottomLeft" sqref="A1:L1"/>
    </sheetView>
  </sheetViews>
  <sheetFormatPr baseColWidth="10" defaultColWidth="8.83203125" defaultRowHeight="15" x14ac:dyDescent="0.2"/>
  <cols>
    <col min="1" max="1" width="35" customWidth="1"/>
    <col min="2" max="2" width="17" customWidth="1"/>
    <col min="3" max="3" width="16" customWidth="1"/>
    <col min="4" max="5" width="12" customWidth="1"/>
    <col min="6" max="6" width="15" customWidth="1"/>
    <col min="7" max="7" width="14" customWidth="1"/>
    <col min="8" max="8" width="12" customWidth="1"/>
    <col min="9" max="9" width="14" customWidth="1"/>
    <col min="10" max="10" width="12" customWidth="1"/>
    <col min="11" max="12" width="19" customWidth="1"/>
  </cols>
  <sheetData>
    <row r="1" spans="1:12" ht="21" x14ac:dyDescent="0.2">
      <c r="A1" s="19" t="s">
        <v>348</v>
      </c>
      <c r="B1" s="18"/>
      <c r="C1" s="18"/>
      <c r="D1" s="18"/>
      <c r="E1" s="18"/>
      <c r="F1" s="18"/>
      <c r="G1" s="18"/>
      <c r="H1" s="18"/>
      <c r="I1" s="18"/>
      <c r="J1" s="18"/>
      <c r="K1" s="18"/>
      <c r="L1" s="18"/>
    </row>
    <row r="4" spans="1:12" ht="16" x14ac:dyDescent="0.2">
      <c r="A4" s="2" t="s">
        <v>349</v>
      </c>
      <c r="B4" s="2" t="s">
        <v>350</v>
      </c>
      <c r="C4" s="2" t="s">
        <v>66</v>
      </c>
      <c r="D4" s="2" t="s">
        <v>351</v>
      </c>
      <c r="E4" s="2" t="s">
        <v>352</v>
      </c>
      <c r="F4" s="2" t="s">
        <v>353</v>
      </c>
      <c r="G4" s="2" t="s">
        <v>354</v>
      </c>
      <c r="H4" s="2" t="s">
        <v>355</v>
      </c>
      <c r="I4" s="2" t="s">
        <v>356</v>
      </c>
      <c r="J4" s="2" t="s">
        <v>357</v>
      </c>
      <c r="K4" s="2" t="s">
        <v>358</v>
      </c>
      <c r="L4" s="2" t="s">
        <v>359</v>
      </c>
    </row>
    <row r="5" spans="1:12" ht="16" x14ac:dyDescent="0.2">
      <c r="A5" s="3" t="s">
        <v>360</v>
      </c>
      <c r="B5" s="3" t="s">
        <v>361</v>
      </c>
      <c r="C5" s="3" t="s">
        <v>362</v>
      </c>
      <c r="D5" s="3" t="s">
        <v>363</v>
      </c>
      <c r="E5" s="3" t="s">
        <v>364</v>
      </c>
      <c r="F5" s="3">
        <v>30</v>
      </c>
      <c r="G5" s="3">
        <v>25</v>
      </c>
      <c r="H5" s="3">
        <v>2</v>
      </c>
      <c r="I5" s="3">
        <v>2</v>
      </c>
      <c r="J5" s="3">
        <v>8</v>
      </c>
      <c r="K5" s="3" t="s">
        <v>365</v>
      </c>
      <c r="L5" s="3" t="s">
        <v>366</v>
      </c>
    </row>
    <row r="6" spans="1:12" ht="16" x14ac:dyDescent="0.2">
      <c r="A6" s="3" t="s">
        <v>367</v>
      </c>
      <c r="B6" s="3" t="s">
        <v>368</v>
      </c>
      <c r="C6" s="3" t="s">
        <v>362</v>
      </c>
      <c r="D6" s="3" t="s">
        <v>363</v>
      </c>
      <c r="E6" s="3" t="s">
        <v>364</v>
      </c>
      <c r="F6" s="3">
        <v>30</v>
      </c>
      <c r="G6" s="3">
        <v>27</v>
      </c>
      <c r="H6" s="3">
        <v>1</v>
      </c>
      <c r="I6" s="3">
        <v>2</v>
      </c>
      <c r="J6" s="3">
        <v>4</v>
      </c>
      <c r="K6" s="3" t="s">
        <v>365</v>
      </c>
      <c r="L6" s="3" t="s">
        <v>366</v>
      </c>
    </row>
    <row r="7" spans="1:12" ht="16" x14ac:dyDescent="0.2">
      <c r="A7" s="3" t="s">
        <v>369</v>
      </c>
      <c r="B7" s="3" t="s">
        <v>370</v>
      </c>
      <c r="C7" s="3" t="s">
        <v>371</v>
      </c>
      <c r="D7" s="3" t="s">
        <v>372</v>
      </c>
      <c r="E7" s="3" t="s">
        <v>364</v>
      </c>
      <c r="F7" s="3">
        <v>30</v>
      </c>
      <c r="G7" s="3">
        <v>20</v>
      </c>
      <c r="H7" s="3">
        <v>0</v>
      </c>
      <c r="I7" s="3">
        <v>2</v>
      </c>
      <c r="J7" s="3">
        <v>0</v>
      </c>
      <c r="K7" s="3" t="s">
        <v>373</v>
      </c>
      <c r="L7" s="3" t="s">
        <v>374</v>
      </c>
    </row>
  </sheetData>
  <mergeCells count="1">
    <mergeCell ref="A1:L1"/>
  </mergeCells>
  <conditionalFormatting sqref="K5:K1000">
    <cfRule type="expression" dxfId="2" priority="1">
      <formula>K5="Exception"</formula>
    </cfRule>
  </conditionalFormatting>
  <conditionalFormatting sqref="L5:L1000">
    <cfRule type="expression" dxfId="1" priority="2">
      <formula>L5="Pending"</formula>
    </cfRule>
  </conditionalFormatting>
  <dataValidations count="2">
    <dataValidation type="list" sqref="K5:K1000" xr:uid="{00000000-0002-0000-0400-000000000000}">
      <formula1>"Finalized,Exception,Pending"</formula1>
    </dataValidation>
    <dataValidation type="list" sqref="L5:L1000" xr:uid="{00000000-0002-0000-0400-000001000000}">
      <formula1>"Approved,Pending,Rejected"</formula1>
    </dataValidation>
  </dataValidation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7"/>
  <sheetViews>
    <sheetView showGridLines="0" workbookViewId="0">
      <pane ySplit="4" topLeftCell="A5" activePane="bottomLeft" state="frozen"/>
      <selection pane="bottomLeft" sqref="A1:M1"/>
    </sheetView>
  </sheetViews>
  <sheetFormatPr baseColWidth="10" defaultColWidth="8.83203125" defaultRowHeight="15" x14ac:dyDescent="0.2"/>
  <cols>
    <col min="1" max="1" width="35" customWidth="1"/>
    <col min="2" max="3" width="17" customWidth="1"/>
    <col min="4" max="4" width="12" customWidth="1"/>
    <col min="5" max="5" width="16" customWidth="1"/>
    <col min="6" max="8" width="12" customWidth="1"/>
    <col min="9" max="9" width="14" customWidth="1"/>
    <col min="10" max="10" width="12" customWidth="1"/>
    <col min="11" max="11" width="15" customWidth="1"/>
    <col min="12" max="12" width="16" customWidth="1"/>
    <col min="13" max="13" width="17" customWidth="1"/>
  </cols>
  <sheetData>
    <row r="1" spans="1:13" ht="21" x14ac:dyDescent="0.2">
      <c r="A1" s="19" t="s">
        <v>375</v>
      </c>
      <c r="B1" s="18"/>
      <c r="C1" s="18"/>
      <c r="D1" s="18"/>
      <c r="E1" s="18"/>
      <c r="F1" s="18"/>
      <c r="G1" s="18"/>
      <c r="H1" s="18"/>
      <c r="I1" s="18"/>
      <c r="J1" s="18"/>
      <c r="K1" s="18"/>
      <c r="L1" s="18"/>
      <c r="M1" s="18"/>
    </row>
    <row r="4" spans="1:13" ht="16" x14ac:dyDescent="0.2">
      <c r="A4" s="2" t="s">
        <v>349</v>
      </c>
      <c r="B4" s="2" t="s">
        <v>350</v>
      </c>
      <c r="C4" s="2" t="s">
        <v>376</v>
      </c>
      <c r="D4" s="2" t="s">
        <v>377</v>
      </c>
      <c r="E4" s="2" t="s">
        <v>66</v>
      </c>
      <c r="F4" s="2" t="s">
        <v>351</v>
      </c>
      <c r="G4" s="2" t="s">
        <v>378</v>
      </c>
      <c r="H4" s="2" t="s">
        <v>379</v>
      </c>
      <c r="I4" s="2" t="s">
        <v>380</v>
      </c>
      <c r="J4" s="2" t="s">
        <v>381</v>
      </c>
      <c r="K4" s="2" t="s">
        <v>382</v>
      </c>
      <c r="L4" s="2" t="s">
        <v>383</v>
      </c>
      <c r="M4" s="2" t="s">
        <v>384</v>
      </c>
    </row>
    <row r="5" spans="1:13" ht="16" x14ac:dyDescent="0.2">
      <c r="A5" s="3" t="s">
        <v>360</v>
      </c>
      <c r="B5" s="3" t="s">
        <v>361</v>
      </c>
      <c r="C5" s="3" t="s">
        <v>385</v>
      </c>
      <c r="D5" s="3" t="s">
        <v>386</v>
      </c>
      <c r="E5" s="3" t="s">
        <v>362</v>
      </c>
      <c r="F5" s="3" t="s">
        <v>363</v>
      </c>
      <c r="G5" s="3" t="s">
        <v>387</v>
      </c>
      <c r="H5" s="3"/>
      <c r="I5" s="3">
        <v>30000</v>
      </c>
      <c r="J5" s="5">
        <v>0.5</v>
      </c>
      <c r="K5" s="3" t="s">
        <v>318</v>
      </c>
      <c r="L5" s="3" t="s">
        <v>318</v>
      </c>
      <c r="M5" s="3" t="s">
        <v>388</v>
      </c>
    </row>
    <row r="6" spans="1:13" ht="16" x14ac:dyDescent="0.2">
      <c r="A6" s="3" t="s">
        <v>367</v>
      </c>
      <c r="B6" s="3" t="s">
        <v>368</v>
      </c>
      <c r="C6" s="3" t="s">
        <v>385</v>
      </c>
      <c r="D6" s="3" t="s">
        <v>386</v>
      </c>
      <c r="E6" s="3" t="s">
        <v>362</v>
      </c>
      <c r="F6" s="3" t="s">
        <v>363</v>
      </c>
      <c r="G6" s="3" t="s">
        <v>389</v>
      </c>
      <c r="H6" s="3"/>
      <c r="I6" s="3">
        <v>28000</v>
      </c>
      <c r="J6" s="5">
        <v>0.5</v>
      </c>
      <c r="K6" s="3" t="s">
        <v>318</v>
      </c>
      <c r="L6" s="3" t="s">
        <v>318</v>
      </c>
      <c r="M6" s="3" t="s">
        <v>388</v>
      </c>
    </row>
    <row r="7" spans="1:13" ht="16" x14ac:dyDescent="0.2">
      <c r="A7" s="3" t="s">
        <v>369</v>
      </c>
      <c r="B7" s="3" t="s">
        <v>370</v>
      </c>
      <c r="C7" s="3" t="s">
        <v>385</v>
      </c>
      <c r="D7" s="3" t="s">
        <v>390</v>
      </c>
      <c r="E7" s="3" t="s">
        <v>371</v>
      </c>
      <c r="F7" s="3" t="s">
        <v>372</v>
      </c>
      <c r="G7" s="3" t="s">
        <v>391</v>
      </c>
      <c r="H7" s="3"/>
      <c r="I7" s="3">
        <v>22000</v>
      </c>
      <c r="J7" s="5">
        <v>0.5</v>
      </c>
      <c r="K7" s="3" t="s">
        <v>318</v>
      </c>
      <c r="L7" s="3" t="s">
        <v>318</v>
      </c>
      <c r="M7" s="3" t="s">
        <v>374</v>
      </c>
    </row>
  </sheetData>
  <mergeCells count="1">
    <mergeCell ref="A1:M1"/>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8D228-ADB8-2247-959A-203563613319}">
  <dimension ref="A1:O28"/>
  <sheetViews>
    <sheetView workbookViewId="0">
      <selection activeCell="C11" sqref="C11"/>
    </sheetView>
  </sheetViews>
  <sheetFormatPr baseColWidth="10" defaultColWidth="8.6640625" defaultRowHeight="15" x14ac:dyDescent="0.2"/>
  <cols>
    <col min="1" max="1" width="5" customWidth="1"/>
    <col min="2" max="2" width="30" customWidth="1"/>
    <col min="3" max="3" width="8" customWidth="1"/>
    <col min="4" max="4" width="24" customWidth="1"/>
    <col min="5" max="5" width="20" customWidth="1"/>
    <col min="6" max="6" width="15" customWidth="1"/>
    <col min="7" max="7" width="46" customWidth="1"/>
    <col min="8" max="8" width="9" customWidth="1"/>
    <col min="9" max="9" width="12" customWidth="1"/>
    <col min="10" max="10" width="10" customWidth="1"/>
    <col min="11" max="11" width="8" customWidth="1"/>
    <col min="12" max="13" width="9" customWidth="1"/>
    <col min="14" max="14" width="10" customWidth="1"/>
    <col min="15" max="15" width="8" customWidth="1"/>
  </cols>
  <sheetData>
    <row r="1" spans="1:15" ht="20" x14ac:dyDescent="0.2">
      <c r="A1" s="26" t="s">
        <v>577</v>
      </c>
    </row>
    <row r="2" spans="1:15" x14ac:dyDescent="0.2">
      <c r="A2" s="27" t="s">
        <v>578</v>
      </c>
    </row>
    <row r="3" spans="1:15" x14ac:dyDescent="0.2">
      <c r="B3" s="28" t="s">
        <v>579</v>
      </c>
      <c r="D3" s="29" t="s">
        <v>580</v>
      </c>
      <c r="E3" s="30" t="s">
        <v>581</v>
      </c>
      <c r="F3" s="31" t="s">
        <v>582</v>
      </c>
    </row>
    <row r="5" spans="1:15" ht="16" x14ac:dyDescent="0.2">
      <c r="A5" s="32" t="s">
        <v>583</v>
      </c>
    </row>
    <row r="6" spans="1:15" ht="28" x14ac:dyDescent="0.2">
      <c r="A6" s="33" t="s">
        <v>283</v>
      </c>
      <c r="B6" s="33" t="s">
        <v>225</v>
      </c>
      <c r="C6" s="34" t="s">
        <v>584</v>
      </c>
      <c r="D6" s="34" t="s">
        <v>585</v>
      </c>
      <c r="E6" s="34" t="s">
        <v>586</v>
      </c>
      <c r="F6" s="34" t="s">
        <v>587</v>
      </c>
      <c r="G6" s="34" t="s">
        <v>588</v>
      </c>
      <c r="H6" s="34" t="s">
        <v>589</v>
      </c>
      <c r="I6" s="34" t="s">
        <v>590</v>
      </c>
      <c r="J6" s="34" t="s">
        <v>339</v>
      </c>
      <c r="K6" s="34" t="s">
        <v>399</v>
      </c>
      <c r="L6" s="34" t="s">
        <v>591</v>
      </c>
      <c r="M6" s="34" t="s">
        <v>592</v>
      </c>
      <c r="N6" s="34" t="s">
        <v>593</v>
      </c>
      <c r="O6" s="34" t="s">
        <v>594</v>
      </c>
    </row>
    <row r="7" spans="1:15" ht="18" customHeight="1" x14ac:dyDescent="0.2">
      <c r="A7" s="35" t="s">
        <v>595</v>
      </c>
      <c r="B7" s="35"/>
      <c r="C7" s="35"/>
      <c r="D7" s="35"/>
      <c r="E7" s="35"/>
      <c r="F7" s="35"/>
      <c r="G7" s="35"/>
      <c r="H7" s="35"/>
      <c r="I7" s="35"/>
      <c r="J7" s="35"/>
      <c r="K7" s="35"/>
      <c r="L7" s="35"/>
      <c r="M7" s="35"/>
      <c r="N7" s="35"/>
      <c r="O7" s="35"/>
    </row>
    <row r="8" spans="1:15" ht="42" x14ac:dyDescent="0.2">
      <c r="A8" s="36">
        <v>1</v>
      </c>
      <c r="B8" s="37" t="s">
        <v>596</v>
      </c>
      <c r="C8" s="36" t="s">
        <v>597</v>
      </c>
      <c r="D8" s="38" t="s">
        <v>598</v>
      </c>
      <c r="E8" s="28" t="s">
        <v>579</v>
      </c>
      <c r="F8" s="36" t="s">
        <v>233</v>
      </c>
      <c r="G8" s="38" t="s">
        <v>599</v>
      </c>
      <c r="H8" s="39" t="s">
        <v>233</v>
      </c>
      <c r="I8" s="39" t="s">
        <v>233</v>
      </c>
      <c r="J8" s="39" t="s">
        <v>233</v>
      </c>
      <c r="K8" s="39" t="s">
        <v>233</v>
      </c>
      <c r="L8" s="39" t="s">
        <v>233</v>
      </c>
      <c r="M8" s="39" t="s">
        <v>233</v>
      </c>
      <c r="N8" s="39" t="s">
        <v>233</v>
      </c>
      <c r="O8" s="39" t="s">
        <v>233</v>
      </c>
    </row>
    <row r="9" spans="1:15" x14ac:dyDescent="0.2">
      <c r="A9" s="36">
        <v>2</v>
      </c>
      <c r="B9" s="37" t="s">
        <v>600</v>
      </c>
      <c r="C9" s="36" t="s">
        <v>601</v>
      </c>
      <c r="D9" s="38" t="s">
        <v>598</v>
      </c>
      <c r="E9" s="28" t="s">
        <v>579</v>
      </c>
      <c r="F9" s="36" t="s">
        <v>233</v>
      </c>
      <c r="G9" s="38" t="s">
        <v>602</v>
      </c>
      <c r="H9" s="39" t="s">
        <v>233</v>
      </c>
      <c r="I9" s="39" t="s">
        <v>603</v>
      </c>
      <c r="J9" s="39" t="s">
        <v>233</v>
      </c>
      <c r="K9" s="39" t="s">
        <v>233</v>
      </c>
      <c r="L9" s="39" t="s">
        <v>233</v>
      </c>
      <c r="M9" s="39" t="s">
        <v>233</v>
      </c>
      <c r="N9" s="39" t="s">
        <v>233</v>
      </c>
      <c r="O9" s="36" t="s">
        <v>604</v>
      </c>
    </row>
    <row r="10" spans="1:15" x14ac:dyDescent="0.2">
      <c r="A10" s="36">
        <v>3</v>
      </c>
      <c r="B10" s="37" t="s">
        <v>605</v>
      </c>
      <c r="C10" s="36" t="s">
        <v>606</v>
      </c>
      <c r="D10" s="38" t="s">
        <v>598</v>
      </c>
      <c r="E10" s="28" t="s">
        <v>579</v>
      </c>
      <c r="F10" s="36" t="s">
        <v>233</v>
      </c>
      <c r="G10" s="38" t="s">
        <v>602</v>
      </c>
      <c r="H10" s="39" t="s">
        <v>233</v>
      </c>
      <c r="I10" s="39" t="s">
        <v>603</v>
      </c>
      <c r="J10" s="39" t="s">
        <v>233</v>
      </c>
      <c r="K10" s="39" t="s">
        <v>233</v>
      </c>
      <c r="L10" s="39" t="s">
        <v>233</v>
      </c>
      <c r="M10" s="39" t="s">
        <v>233</v>
      </c>
      <c r="N10" s="39" t="s">
        <v>233</v>
      </c>
      <c r="O10" s="36" t="s">
        <v>604</v>
      </c>
    </row>
    <row r="11" spans="1:15" ht="28" x14ac:dyDescent="0.2">
      <c r="A11" s="36">
        <v>4</v>
      </c>
      <c r="B11" s="37" t="s">
        <v>607</v>
      </c>
      <c r="C11" s="36" t="s">
        <v>608</v>
      </c>
      <c r="D11" s="38" t="s">
        <v>598</v>
      </c>
      <c r="E11" s="28" t="s">
        <v>579</v>
      </c>
      <c r="F11" s="36" t="s">
        <v>233</v>
      </c>
      <c r="G11" s="38" t="s">
        <v>609</v>
      </c>
      <c r="H11" s="39" t="s">
        <v>233</v>
      </c>
      <c r="I11" s="39" t="s">
        <v>603</v>
      </c>
      <c r="J11" s="39" t="s">
        <v>233</v>
      </c>
      <c r="K11" s="39" t="s">
        <v>233</v>
      </c>
      <c r="L11" s="39" t="s">
        <v>233</v>
      </c>
      <c r="M11" s="36" t="s">
        <v>604</v>
      </c>
      <c r="N11" s="39" t="s">
        <v>233</v>
      </c>
      <c r="O11" s="36" t="s">
        <v>604</v>
      </c>
    </row>
    <row r="12" spans="1:15" ht="28" x14ac:dyDescent="0.2">
      <c r="A12" s="36">
        <v>5</v>
      </c>
      <c r="B12" s="37" t="s">
        <v>610</v>
      </c>
      <c r="C12" s="36" t="s">
        <v>611</v>
      </c>
      <c r="D12" s="38" t="s">
        <v>598</v>
      </c>
      <c r="E12" s="29" t="s">
        <v>580</v>
      </c>
      <c r="F12" s="36" t="s">
        <v>233</v>
      </c>
      <c r="G12" s="38" t="s">
        <v>612</v>
      </c>
      <c r="H12" s="36" t="s">
        <v>604</v>
      </c>
      <c r="I12" s="36" t="s">
        <v>604</v>
      </c>
      <c r="J12" s="36" t="s">
        <v>604</v>
      </c>
      <c r="K12" s="36" t="s">
        <v>604</v>
      </c>
      <c r="L12" s="36" t="s">
        <v>604</v>
      </c>
      <c r="M12" s="36" t="s">
        <v>604</v>
      </c>
      <c r="N12" s="36" t="s">
        <v>604</v>
      </c>
      <c r="O12" s="36" t="s">
        <v>604</v>
      </c>
    </row>
    <row r="13" spans="1:15" x14ac:dyDescent="0.2">
      <c r="A13" s="36">
        <v>6</v>
      </c>
      <c r="B13" s="37" t="s">
        <v>613</v>
      </c>
      <c r="C13" s="36" t="s">
        <v>614</v>
      </c>
      <c r="D13" s="38" t="s">
        <v>598</v>
      </c>
      <c r="E13" s="29" t="s">
        <v>580</v>
      </c>
      <c r="F13" s="36" t="s">
        <v>233</v>
      </c>
      <c r="G13" s="38" t="s">
        <v>602</v>
      </c>
      <c r="H13" s="36" t="s">
        <v>604</v>
      </c>
      <c r="I13" s="36" t="s">
        <v>604</v>
      </c>
      <c r="J13" s="36" t="s">
        <v>604</v>
      </c>
      <c r="K13" s="36" t="s">
        <v>604</v>
      </c>
      <c r="L13" s="36" t="s">
        <v>604</v>
      </c>
      <c r="M13" s="36" t="s">
        <v>604</v>
      </c>
      <c r="N13" s="36" t="s">
        <v>604</v>
      </c>
      <c r="O13" s="36" t="s">
        <v>604</v>
      </c>
    </row>
    <row r="14" spans="1:15" ht="28" x14ac:dyDescent="0.2">
      <c r="A14" s="36">
        <v>7</v>
      </c>
      <c r="B14" s="37" t="s">
        <v>615</v>
      </c>
      <c r="C14" s="36" t="s">
        <v>616</v>
      </c>
      <c r="D14" s="38" t="s">
        <v>598</v>
      </c>
      <c r="E14" s="29" t="s">
        <v>580</v>
      </c>
      <c r="F14" s="36" t="s">
        <v>233</v>
      </c>
      <c r="G14" s="38" t="s">
        <v>617</v>
      </c>
      <c r="H14" s="36" t="s">
        <v>604</v>
      </c>
      <c r="I14" s="36" t="s">
        <v>604</v>
      </c>
      <c r="J14" s="36" t="s">
        <v>604</v>
      </c>
      <c r="K14" s="36" t="s">
        <v>604</v>
      </c>
      <c r="L14" s="36" t="s">
        <v>604</v>
      </c>
      <c r="M14" s="36" t="s">
        <v>604</v>
      </c>
      <c r="N14" s="36" t="s">
        <v>604</v>
      </c>
      <c r="O14" s="36" t="s">
        <v>604</v>
      </c>
    </row>
    <row r="15" spans="1:15" ht="18" customHeight="1" x14ac:dyDescent="0.2">
      <c r="A15" s="35" t="s">
        <v>618</v>
      </c>
      <c r="B15" s="35"/>
      <c r="C15" s="35"/>
      <c r="D15" s="35"/>
      <c r="E15" s="35"/>
      <c r="F15" s="35"/>
      <c r="G15" s="35"/>
      <c r="H15" s="35"/>
      <c r="I15" s="35"/>
      <c r="J15" s="35"/>
      <c r="K15" s="35"/>
      <c r="L15" s="35"/>
      <c r="M15" s="35"/>
      <c r="N15" s="35"/>
      <c r="O15" s="35"/>
    </row>
    <row r="16" spans="1:15" ht="28" x14ac:dyDescent="0.2">
      <c r="A16" s="36">
        <v>8</v>
      </c>
      <c r="B16" s="37" t="s">
        <v>619</v>
      </c>
      <c r="C16" s="36" t="s">
        <v>620</v>
      </c>
      <c r="D16" s="38" t="s">
        <v>621</v>
      </c>
      <c r="E16" s="30" t="s">
        <v>581</v>
      </c>
      <c r="F16" s="36" t="s">
        <v>283</v>
      </c>
      <c r="G16" s="38" t="s">
        <v>622</v>
      </c>
      <c r="H16" s="36" t="s">
        <v>604</v>
      </c>
      <c r="I16" s="36" t="s">
        <v>604</v>
      </c>
      <c r="J16" s="36" t="s">
        <v>604</v>
      </c>
      <c r="K16" s="36" t="s">
        <v>604</v>
      </c>
      <c r="L16" s="36" t="s">
        <v>604</v>
      </c>
      <c r="M16" s="36" t="s">
        <v>604</v>
      </c>
      <c r="N16" s="36" t="s">
        <v>604</v>
      </c>
      <c r="O16" s="36" t="s">
        <v>604</v>
      </c>
    </row>
    <row r="17" spans="1:15" ht="28" x14ac:dyDescent="0.2">
      <c r="A17" s="36">
        <v>9</v>
      </c>
      <c r="B17" s="37" t="s">
        <v>334</v>
      </c>
      <c r="C17" s="36" t="s">
        <v>623</v>
      </c>
      <c r="D17" s="38" t="s">
        <v>621</v>
      </c>
      <c r="E17" s="29" t="s">
        <v>580</v>
      </c>
      <c r="F17" s="36" t="s">
        <v>233</v>
      </c>
      <c r="G17" s="38" t="s">
        <v>624</v>
      </c>
      <c r="H17" s="36" t="s">
        <v>604</v>
      </c>
      <c r="I17" s="36" t="s">
        <v>604</v>
      </c>
      <c r="J17" s="36" t="s">
        <v>604</v>
      </c>
      <c r="K17" s="36" t="s">
        <v>604</v>
      </c>
      <c r="L17" s="36" t="s">
        <v>604</v>
      </c>
      <c r="M17" s="36" t="s">
        <v>604</v>
      </c>
      <c r="N17" s="36" t="s">
        <v>604</v>
      </c>
      <c r="O17" s="36" t="s">
        <v>604</v>
      </c>
    </row>
    <row r="18" spans="1:15" ht="28" x14ac:dyDescent="0.2">
      <c r="A18" s="36">
        <v>10</v>
      </c>
      <c r="B18" s="37" t="s">
        <v>339</v>
      </c>
      <c r="C18" s="36" t="s">
        <v>625</v>
      </c>
      <c r="D18" s="38" t="s">
        <v>621</v>
      </c>
      <c r="E18" s="30" t="s">
        <v>581</v>
      </c>
      <c r="F18" s="36" t="s">
        <v>283</v>
      </c>
      <c r="G18" s="38" t="s">
        <v>626</v>
      </c>
      <c r="H18" s="36" t="s">
        <v>604</v>
      </c>
      <c r="I18" s="36" t="s">
        <v>604</v>
      </c>
      <c r="J18" s="36" t="s">
        <v>604</v>
      </c>
      <c r="K18" s="36" t="s">
        <v>604</v>
      </c>
      <c r="L18" s="36" t="s">
        <v>604</v>
      </c>
      <c r="M18" s="36" t="s">
        <v>604</v>
      </c>
      <c r="N18" s="36" t="s">
        <v>604</v>
      </c>
      <c r="O18" s="36" t="s">
        <v>604</v>
      </c>
    </row>
    <row r="19" spans="1:15" ht="28" x14ac:dyDescent="0.2">
      <c r="A19" s="36">
        <v>11</v>
      </c>
      <c r="B19" s="37" t="s">
        <v>403</v>
      </c>
      <c r="C19" s="36" t="s">
        <v>627</v>
      </c>
      <c r="D19" s="38" t="s">
        <v>621</v>
      </c>
      <c r="E19" s="30" t="s">
        <v>581</v>
      </c>
      <c r="F19" s="36" t="s">
        <v>283</v>
      </c>
      <c r="G19" s="38" t="s">
        <v>628</v>
      </c>
      <c r="H19" s="36" t="s">
        <v>604</v>
      </c>
      <c r="I19" s="36" t="s">
        <v>604</v>
      </c>
      <c r="J19" s="36" t="s">
        <v>604</v>
      </c>
      <c r="K19" s="36" t="s">
        <v>604</v>
      </c>
      <c r="L19" s="36" t="s">
        <v>604</v>
      </c>
      <c r="M19" s="36" t="s">
        <v>604</v>
      </c>
      <c r="N19" s="36" t="s">
        <v>604</v>
      </c>
      <c r="O19" s="36" t="s">
        <v>604</v>
      </c>
    </row>
    <row r="20" spans="1:15" ht="18" customHeight="1" x14ac:dyDescent="0.2">
      <c r="A20" s="35" t="s">
        <v>629</v>
      </c>
      <c r="B20" s="35"/>
      <c r="C20" s="35"/>
      <c r="D20" s="35"/>
      <c r="E20" s="35"/>
      <c r="F20" s="35"/>
      <c r="G20" s="35"/>
      <c r="H20" s="35"/>
      <c r="I20" s="35"/>
      <c r="J20" s="35"/>
      <c r="K20" s="35"/>
      <c r="L20" s="35"/>
      <c r="M20" s="35"/>
      <c r="N20" s="35"/>
      <c r="O20" s="35"/>
    </row>
    <row r="21" spans="1:15" ht="28" x14ac:dyDescent="0.2">
      <c r="A21" s="36">
        <v>13</v>
      </c>
      <c r="B21" s="37" t="s">
        <v>630</v>
      </c>
      <c r="C21" s="36" t="s">
        <v>631</v>
      </c>
      <c r="D21" s="38" t="s">
        <v>632</v>
      </c>
      <c r="E21" s="29" t="s">
        <v>580</v>
      </c>
      <c r="F21" s="36" t="s">
        <v>233</v>
      </c>
      <c r="G21" s="38" t="s">
        <v>633</v>
      </c>
      <c r="H21" s="36" t="s">
        <v>604</v>
      </c>
      <c r="I21" s="36" t="s">
        <v>604</v>
      </c>
      <c r="J21" s="36" t="s">
        <v>604</v>
      </c>
      <c r="K21" s="36" t="s">
        <v>604</v>
      </c>
      <c r="L21" s="36" t="s">
        <v>604</v>
      </c>
      <c r="M21" s="36" t="s">
        <v>604</v>
      </c>
      <c r="N21" s="36" t="s">
        <v>604</v>
      </c>
      <c r="O21" s="36" t="s">
        <v>604</v>
      </c>
    </row>
    <row r="22" spans="1:15" ht="42" x14ac:dyDescent="0.2">
      <c r="A22" s="36">
        <v>14</v>
      </c>
      <c r="B22" s="37" t="s">
        <v>634</v>
      </c>
      <c r="C22" s="36" t="s">
        <v>635</v>
      </c>
      <c r="D22" s="38" t="s">
        <v>632</v>
      </c>
      <c r="E22" s="30" t="s">
        <v>581</v>
      </c>
      <c r="F22" s="36" t="s">
        <v>283</v>
      </c>
      <c r="G22" s="38" t="s">
        <v>636</v>
      </c>
      <c r="H22" s="36" t="s">
        <v>604</v>
      </c>
      <c r="I22" s="36" t="s">
        <v>604</v>
      </c>
      <c r="J22" s="36" t="s">
        <v>604</v>
      </c>
      <c r="K22" s="36" t="s">
        <v>604</v>
      </c>
      <c r="L22" s="36" t="s">
        <v>604</v>
      </c>
      <c r="M22" s="36" t="s">
        <v>604</v>
      </c>
      <c r="N22" s="36" t="s">
        <v>604</v>
      </c>
      <c r="O22" s="36" t="s">
        <v>604</v>
      </c>
    </row>
    <row r="23" spans="1:15" ht="28" x14ac:dyDescent="0.2">
      <c r="A23" s="36">
        <v>15</v>
      </c>
      <c r="B23" s="37" t="s">
        <v>593</v>
      </c>
      <c r="C23" s="36" t="s">
        <v>637</v>
      </c>
      <c r="D23" s="38" t="s">
        <v>632</v>
      </c>
      <c r="E23" s="30" t="s">
        <v>581</v>
      </c>
      <c r="F23" s="36" t="s">
        <v>283</v>
      </c>
      <c r="G23" s="38" t="s">
        <v>638</v>
      </c>
      <c r="H23" s="36" t="s">
        <v>604</v>
      </c>
      <c r="I23" s="36" t="s">
        <v>604</v>
      </c>
      <c r="J23" s="36" t="s">
        <v>604</v>
      </c>
      <c r="K23" s="36" t="s">
        <v>604</v>
      </c>
      <c r="L23" s="36" t="s">
        <v>604</v>
      </c>
      <c r="M23" s="36" t="s">
        <v>604</v>
      </c>
      <c r="N23" s="36" t="s">
        <v>604</v>
      </c>
      <c r="O23" s="36" t="s">
        <v>604</v>
      </c>
    </row>
    <row r="24" spans="1:15" ht="18" customHeight="1" x14ac:dyDescent="0.2">
      <c r="A24" s="35" t="s">
        <v>639</v>
      </c>
      <c r="B24" s="35"/>
      <c r="C24" s="35"/>
      <c r="D24" s="35"/>
      <c r="E24" s="35"/>
      <c r="F24" s="35"/>
      <c r="G24" s="35"/>
      <c r="H24" s="35"/>
      <c r="I24" s="35"/>
      <c r="J24" s="35"/>
      <c r="K24" s="35"/>
      <c r="L24" s="35"/>
      <c r="M24" s="35"/>
      <c r="N24" s="35"/>
      <c r="O24" s="35"/>
    </row>
    <row r="25" spans="1:15" x14ac:dyDescent="0.2">
      <c r="A25" s="36">
        <v>16</v>
      </c>
      <c r="B25" s="37" t="s">
        <v>640</v>
      </c>
      <c r="C25" s="36" t="s">
        <v>641</v>
      </c>
      <c r="D25" s="38" t="s">
        <v>642</v>
      </c>
      <c r="E25" s="30" t="s">
        <v>581</v>
      </c>
      <c r="F25" s="36" t="s">
        <v>283</v>
      </c>
      <c r="G25" s="38"/>
      <c r="H25" s="36" t="s">
        <v>604</v>
      </c>
      <c r="I25" s="36" t="s">
        <v>604</v>
      </c>
      <c r="J25" s="36" t="s">
        <v>604</v>
      </c>
      <c r="K25" s="36" t="s">
        <v>604</v>
      </c>
      <c r="L25" s="36" t="s">
        <v>604</v>
      </c>
      <c r="M25" s="36" t="s">
        <v>604</v>
      </c>
      <c r="N25" s="36" t="s">
        <v>604</v>
      </c>
      <c r="O25" s="36" t="s">
        <v>604</v>
      </c>
    </row>
    <row r="26" spans="1:15" ht="30" customHeight="1" x14ac:dyDescent="0.2">
      <c r="A26" s="40" t="s">
        <v>643</v>
      </c>
      <c r="B26" s="40"/>
      <c r="C26" s="40"/>
      <c r="D26" s="40"/>
      <c r="E26" s="40"/>
      <c r="F26" s="40"/>
      <c r="G26" s="40"/>
      <c r="H26" s="40"/>
      <c r="I26" s="40"/>
      <c r="J26" s="40"/>
      <c r="K26" s="40"/>
      <c r="L26" s="40"/>
      <c r="M26" s="40"/>
      <c r="N26" s="40"/>
      <c r="O26" s="40"/>
    </row>
    <row r="27" spans="1:15" ht="30" customHeight="1" x14ac:dyDescent="0.2">
      <c r="A27" s="40" t="s">
        <v>644</v>
      </c>
      <c r="B27" s="40"/>
      <c r="C27" s="40"/>
      <c r="D27" s="40"/>
      <c r="E27" s="40"/>
      <c r="F27" s="40"/>
      <c r="G27" s="40"/>
      <c r="H27" s="40"/>
      <c r="I27" s="40"/>
      <c r="J27" s="40"/>
      <c r="K27" s="40"/>
      <c r="L27" s="40"/>
      <c r="M27" s="40"/>
      <c r="N27" s="40"/>
      <c r="O27" s="40"/>
    </row>
    <row r="28" spans="1:15" ht="30" customHeight="1" x14ac:dyDescent="0.2">
      <c r="A28" s="40" t="s">
        <v>645</v>
      </c>
      <c r="B28" s="40"/>
      <c r="C28" s="40"/>
      <c r="D28" s="40"/>
      <c r="E28" s="40"/>
      <c r="F28" s="40"/>
      <c r="G28" s="40"/>
      <c r="H28" s="40"/>
      <c r="I28" s="40"/>
      <c r="J28" s="40"/>
      <c r="K28" s="40"/>
      <c r="L28" s="40"/>
      <c r="M28" s="40"/>
      <c r="N28" s="40"/>
      <c r="O28" s="40"/>
    </row>
  </sheetData>
  <mergeCells count="7">
    <mergeCell ref="A28:O28"/>
    <mergeCell ref="A7:O7"/>
    <mergeCell ref="A15:O15"/>
    <mergeCell ref="A20:O20"/>
    <mergeCell ref="A24:O24"/>
    <mergeCell ref="A26:O26"/>
    <mergeCell ref="A27:O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A571-433B-EB4B-9CA1-5F35C0322933}">
  <dimension ref="A1:G22"/>
  <sheetViews>
    <sheetView workbookViewId="0">
      <selection activeCell="J18" sqref="J18"/>
    </sheetView>
  </sheetViews>
  <sheetFormatPr baseColWidth="10" defaultColWidth="8.6640625" defaultRowHeight="15" x14ac:dyDescent="0.2"/>
  <cols>
    <col min="1" max="1" width="30" customWidth="1"/>
    <col min="2" max="2" width="14" customWidth="1"/>
    <col min="3" max="3" width="20" customWidth="1"/>
    <col min="4" max="4" width="36" customWidth="1"/>
    <col min="5" max="5" width="34" customWidth="1"/>
    <col min="6" max="6" width="12" customWidth="1"/>
    <col min="7" max="7" width="10" customWidth="1"/>
  </cols>
  <sheetData>
    <row r="1" spans="1:7" ht="20" x14ac:dyDescent="0.2">
      <c r="A1" s="26" t="s">
        <v>646</v>
      </c>
    </row>
    <row r="2" spans="1:7" x14ac:dyDescent="0.2">
      <c r="A2" s="27" t="s">
        <v>647</v>
      </c>
    </row>
    <row r="4" spans="1:7" x14ac:dyDescent="0.2">
      <c r="A4" s="33" t="s">
        <v>648</v>
      </c>
      <c r="B4" s="33" t="s">
        <v>649</v>
      </c>
      <c r="C4" s="34" t="s">
        <v>650</v>
      </c>
      <c r="D4" s="34" t="s">
        <v>651</v>
      </c>
      <c r="E4" s="34" t="s">
        <v>652</v>
      </c>
      <c r="F4" s="34" t="s">
        <v>653</v>
      </c>
      <c r="G4" s="34" t="s">
        <v>584</v>
      </c>
    </row>
    <row r="5" spans="1:7" ht="28" x14ac:dyDescent="0.2">
      <c r="A5" s="41" t="s">
        <v>619</v>
      </c>
      <c r="B5" s="38" t="s">
        <v>654</v>
      </c>
      <c r="C5" s="38" t="s">
        <v>655</v>
      </c>
      <c r="D5" s="38" t="s">
        <v>579</v>
      </c>
      <c r="E5" s="38" t="s">
        <v>656</v>
      </c>
      <c r="F5" s="36" t="s">
        <v>657</v>
      </c>
      <c r="G5" s="36" t="s">
        <v>620</v>
      </c>
    </row>
    <row r="6" spans="1:7" ht="28" x14ac:dyDescent="0.2">
      <c r="A6" s="41" t="s">
        <v>658</v>
      </c>
      <c r="B6" s="38" t="s">
        <v>659</v>
      </c>
      <c r="C6" s="38" t="s">
        <v>660</v>
      </c>
      <c r="D6" s="38" t="s">
        <v>661</v>
      </c>
      <c r="E6" s="38" t="s">
        <v>662</v>
      </c>
      <c r="F6" s="36" t="s">
        <v>663</v>
      </c>
      <c r="G6" s="36" t="s">
        <v>664</v>
      </c>
    </row>
    <row r="7" spans="1:7" ht="42" x14ac:dyDescent="0.2">
      <c r="A7" s="41" t="s">
        <v>334</v>
      </c>
      <c r="B7" s="38" t="s">
        <v>654</v>
      </c>
      <c r="C7" s="38" t="s">
        <v>665</v>
      </c>
      <c r="D7" s="38" t="s">
        <v>666</v>
      </c>
      <c r="E7" s="38" t="s">
        <v>667</v>
      </c>
      <c r="F7" s="36" t="s">
        <v>663</v>
      </c>
      <c r="G7" s="36" t="s">
        <v>623</v>
      </c>
    </row>
    <row r="8" spans="1:7" ht="28" x14ac:dyDescent="0.2">
      <c r="A8" s="41" t="s">
        <v>270</v>
      </c>
      <c r="B8" s="38" t="s">
        <v>659</v>
      </c>
      <c r="C8" s="38" t="s">
        <v>668</v>
      </c>
      <c r="D8" s="38" t="s">
        <v>669</v>
      </c>
      <c r="E8" s="38" t="s">
        <v>670</v>
      </c>
      <c r="F8" s="36" t="s">
        <v>657</v>
      </c>
      <c r="G8" s="36" t="s">
        <v>671</v>
      </c>
    </row>
    <row r="9" spans="1:7" ht="28" x14ac:dyDescent="0.2">
      <c r="A9" s="41" t="s">
        <v>339</v>
      </c>
      <c r="B9" s="38" t="s">
        <v>654</v>
      </c>
      <c r="C9" s="38" t="s">
        <v>672</v>
      </c>
      <c r="D9" s="38" t="s">
        <v>579</v>
      </c>
      <c r="E9" s="38" t="s">
        <v>673</v>
      </c>
      <c r="F9" s="36" t="s">
        <v>663</v>
      </c>
      <c r="G9" s="36" t="s">
        <v>625</v>
      </c>
    </row>
    <row r="10" spans="1:7" ht="28" x14ac:dyDescent="0.2">
      <c r="A10" s="41" t="s">
        <v>403</v>
      </c>
      <c r="B10" s="38" t="s">
        <v>654</v>
      </c>
      <c r="C10" s="38" t="s">
        <v>674</v>
      </c>
      <c r="D10" s="38" t="s">
        <v>579</v>
      </c>
      <c r="E10" s="38" t="s">
        <v>675</v>
      </c>
      <c r="F10" s="36" t="s">
        <v>657</v>
      </c>
      <c r="G10" s="36" t="s">
        <v>627</v>
      </c>
    </row>
    <row r="11" spans="1:7" ht="28" x14ac:dyDescent="0.2">
      <c r="A11" s="41" t="s">
        <v>676</v>
      </c>
      <c r="B11" s="38" t="s">
        <v>659</v>
      </c>
      <c r="C11" s="38" t="s">
        <v>677</v>
      </c>
      <c r="D11" s="38" t="s">
        <v>579</v>
      </c>
      <c r="E11" s="38" t="s">
        <v>675</v>
      </c>
      <c r="F11" s="36" t="s">
        <v>663</v>
      </c>
      <c r="G11" s="36" t="s">
        <v>678</v>
      </c>
    </row>
    <row r="12" spans="1:7" ht="28" x14ac:dyDescent="0.2">
      <c r="A12" s="41" t="s">
        <v>679</v>
      </c>
      <c r="B12" s="38" t="s">
        <v>654</v>
      </c>
      <c r="C12" s="38" t="s">
        <v>680</v>
      </c>
      <c r="D12" s="38" t="s">
        <v>579</v>
      </c>
      <c r="E12" s="38" t="s">
        <v>681</v>
      </c>
      <c r="F12" s="36" t="s">
        <v>663</v>
      </c>
      <c r="G12" s="36" t="s">
        <v>616</v>
      </c>
    </row>
    <row r="13" spans="1:7" ht="28" x14ac:dyDescent="0.2">
      <c r="A13" s="41" t="s">
        <v>682</v>
      </c>
      <c r="B13" s="38" t="s">
        <v>654</v>
      </c>
      <c r="C13" s="38" t="s">
        <v>680</v>
      </c>
      <c r="D13" s="38" t="s">
        <v>683</v>
      </c>
      <c r="E13" s="38" t="s">
        <v>681</v>
      </c>
      <c r="F13" s="36" t="s">
        <v>684</v>
      </c>
      <c r="G13" s="36" t="s">
        <v>631</v>
      </c>
    </row>
    <row r="14" spans="1:7" ht="28" x14ac:dyDescent="0.2">
      <c r="A14" s="41" t="s">
        <v>685</v>
      </c>
      <c r="B14" s="38" t="s">
        <v>654</v>
      </c>
      <c r="C14" s="38" t="s">
        <v>686</v>
      </c>
      <c r="D14" s="38" t="s">
        <v>687</v>
      </c>
      <c r="E14" s="38" t="s">
        <v>688</v>
      </c>
      <c r="F14" s="36" t="s">
        <v>657</v>
      </c>
      <c r="G14" s="36" t="s">
        <v>608</v>
      </c>
    </row>
    <row r="15" spans="1:7" ht="28" x14ac:dyDescent="0.2">
      <c r="A15" s="41" t="s">
        <v>689</v>
      </c>
      <c r="B15" s="38" t="s">
        <v>654</v>
      </c>
      <c r="C15" s="38" t="s">
        <v>686</v>
      </c>
      <c r="D15" s="38" t="s">
        <v>687</v>
      </c>
      <c r="E15" s="38" t="s">
        <v>690</v>
      </c>
      <c r="F15" s="36" t="s">
        <v>657</v>
      </c>
      <c r="G15" s="36" t="s">
        <v>635</v>
      </c>
    </row>
    <row r="16" spans="1:7" ht="28" x14ac:dyDescent="0.2">
      <c r="A16" s="41" t="s">
        <v>593</v>
      </c>
      <c r="B16" s="38" t="s">
        <v>654</v>
      </c>
      <c r="C16" s="38" t="s">
        <v>691</v>
      </c>
      <c r="D16" s="38" t="s">
        <v>579</v>
      </c>
      <c r="E16" s="38" t="s">
        <v>692</v>
      </c>
      <c r="F16" s="36" t="s">
        <v>657</v>
      </c>
      <c r="G16" s="36" t="s">
        <v>637</v>
      </c>
    </row>
    <row r="17" spans="1:7" ht="28" x14ac:dyDescent="0.2">
      <c r="A17" s="41" t="s">
        <v>693</v>
      </c>
      <c r="B17" s="38" t="s">
        <v>654</v>
      </c>
      <c r="C17" s="38" t="s">
        <v>694</v>
      </c>
      <c r="D17" s="38" t="s">
        <v>695</v>
      </c>
      <c r="E17" s="38" t="s">
        <v>696</v>
      </c>
      <c r="F17" s="36" t="s">
        <v>663</v>
      </c>
      <c r="G17" s="36" t="s">
        <v>697</v>
      </c>
    </row>
    <row r="18" spans="1:7" x14ac:dyDescent="0.2">
      <c r="A18" s="41" t="s">
        <v>640</v>
      </c>
      <c r="B18" s="38" t="s">
        <v>698</v>
      </c>
      <c r="C18" s="38" t="s">
        <v>699</v>
      </c>
      <c r="D18" s="38" t="s">
        <v>700</v>
      </c>
      <c r="E18" s="38" t="s">
        <v>701</v>
      </c>
      <c r="F18" s="36" t="s">
        <v>604</v>
      </c>
      <c r="G18" s="36" t="s">
        <v>641</v>
      </c>
    </row>
    <row r="19" spans="1:7" ht="28" x14ac:dyDescent="0.2">
      <c r="A19" s="41" t="s">
        <v>702</v>
      </c>
      <c r="B19" s="38" t="s">
        <v>703</v>
      </c>
      <c r="C19" s="38" t="s">
        <v>604</v>
      </c>
      <c r="D19" s="38" t="s">
        <v>704</v>
      </c>
      <c r="E19" s="38" t="s">
        <v>705</v>
      </c>
      <c r="F19" s="36" t="s">
        <v>604</v>
      </c>
      <c r="G19" s="36" t="s">
        <v>597</v>
      </c>
    </row>
    <row r="20" spans="1:7" ht="28" x14ac:dyDescent="0.2">
      <c r="A20" s="41" t="s">
        <v>706</v>
      </c>
      <c r="B20" s="38" t="s">
        <v>659</v>
      </c>
      <c r="C20" s="38" t="s">
        <v>604</v>
      </c>
      <c r="D20" s="38" t="s">
        <v>707</v>
      </c>
      <c r="E20" s="38" t="s">
        <v>708</v>
      </c>
      <c r="F20" s="36" t="s">
        <v>604</v>
      </c>
      <c r="G20" s="36" t="s">
        <v>709</v>
      </c>
    </row>
    <row r="22" spans="1:7" ht="30" customHeight="1" x14ac:dyDescent="0.2">
      <c r="A22" s="40" t="s">
        <v>710</v>
      </c>
      <c r="B22" s="40"/>
      <c r="C22" s="40"/>
      <c r="D22" s="40"/>
      <c r="E22" s="40"/>
      <c r="F22" s="40"/>
      <c r="G22" s="40"/>
    </row>
  </sheetData>
  <mergeCells count="1">
    <mergeCell ref="A22:G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F8BA-B909-414F-88C2-E99731926E54}">
  <dimension ref="A1:E37"/>
  <sheetViews>
    <sheetView tabSelected="1" workbookViewId="0">
      <selection activeCell="A16" sqref="A16:E16"/>
    </sheetView>
  </sheetViews>
  <sheetFormatPr baseColWidth="10" defaultColWidth="8.6640625" defaultRowHeight="15" x14ac:dyDescent="0.2"/>
  <cols>
    <col min="1" max="5" width="30" customWidth="1"/>
  </cols>
  <sheetData>
    <row r="1" spans="1:5" ht="20" x14ac:dyDescent="0.2">
      <c r="A1" s="26" t="s">
        <v>711</v>
      </c>
    </row>
    <row r="2" spans="1:5" x14ac:dyDescent="0.2">
      <c r="A2" s="27" t="s">
        <v>712</v>
      </c>
    </row>
    <row r="3" spans="1:5" ht="16" x14ac:dyDescent="0.2">
      <c r="A3" s="32" t="s">
        <v>713</v>
      </c>
    </row>
    <row r="4" spans="1:5" ht="33.75" customHeight="1" x14ac:dyDescent="0.2">
      <c r="A4" s="42" t="s">
        <v>714</v>
      </c>
      <c r="B4" s="42"/>
      <c r="C4" s="42"/>
      <c r="D4" s="42"/>
      <c r="E4" s="42"/>
    </row>
    <row r="6" spans="1:5" ht="16" x14ac:dyDescent="0.2">
      <c r="A6" s="32" t="s">
        <v>715</v>
      </c>
    </row>
    <row r="7" spans="1:5" x14ac:dyDescent="0.2">
      <c r="A7" s="33" t="s">
        <v>586</v>
      </c>
      <c r="B7" s="33" t="s">
        <v>716</v>
      </c>
      <c r="C7" s="34" t="s">
        <v>717</v>
      </c>
      <c r="D7" s="34" t="s">
        <v>718</v>
      </c>
      <c r="E7" s="34" t="s">
        <v>719</v>
      </c>
    </row>
    <row r="8" spans="1:5" ht="56" x14ac:dyDescent="0.2">
      <c r="A8" s="43" t="s">
        <v>579</v>
      </c>
      <c r="B8" s="38" t="s">
        <v>720</v>
      </c>
      <c r="C8" s="38" t="s">
        <v>721</v>
      </c>
      <c r="D8" s="36" t="s">
        <v>233</v>
      </c>
      <c r="E8" s="38" t="s">
        <v>722</v>
      </c>
    </row>
    <row r="9" spans="1:5" ht="42" x14ac:dyDescent="0.2">
      <c r="A9" s="44" t="s">
        <v>580</v>
      </c>
      <c r="B9" s="38" t="s">
        <v>723</v>
      </c>
      <c r="C9" s="38" t="s">
        <v>724</v>
      </c>
      <c r="D9" s="36" t="s">
        <v>233</v>
      </c>
      <c r="E9" s="38" t="s">
        <v>283</v>
      </c>
    </row>
    <row r="10" spans="1:5" ht="70" x14ac:dyDescent="0.2">
      <c r="A10" s="45" t="s">
        <v>581</v>
      </c>
      <c r="B10" s="38" t="s">
        <v>725</v>
      </c>
      <c r="C10" s="38" t="s">
        <v>726</v>
      </c>
      <c r="D10" s="36" t="s">
        <v>283</v>
      </c>
      <c r="E10" s="38" t="s">
        <v>283</v>
      </c>
    </row>
    <row r="12" spans="1:5" ht="16" x14ac:dyDescent="0.2">
      <c r="A12" s="32" t="s">
        <v>727</v>
      </c>
    </row>
    <row r="13" spans="1:5" ht="60" customHeight="1" x14ac:dyDescent="0.2">
      <c r="A13" s="42" t="s">
        <v>728</v>
      </c>
      <c r="B13" s="42"/>
      <c r="C13" s="42"/>
      <c r="D13" s="42"/>
      <c r="E13" s="42"/>
    </row>
    <row r="15" spans="1:5" ht="16" x14ac:dyDescent="0.2">
      <c r="A15" s="32" t="s">
        <v>729</v>
      </c>
    </row>
    <row r="16" spans="1:5" ht="46.5" customHeight="1" x14ac:dyDescent="0.2">
      <c r="A16" s="42" t="s">
        <v>730</v>
      </c>
      <c r="B16" s="42"/>
      <c r="C16" s="42"/>
      <c r="D16" s="42"/>
      <c r="E16" s="42"/>
    </row>
    <row r="18" spans="1:3" ht="16" x14ac:dyDescent="0.2">
      <c r="A18" s="32" t="s">
        <v>731</v>
      </c>
    </row>
    <row r="19" spans="1:3" ht="21.75" customHeight="1" x14ac:dyDescent="0.2">
      <c r="A19" s="33"/>
      <c r="B19" s="33" t="s">
        <v>191</v>
      </c>
      <c r="C19" s="34" t="s">
        <v>732</v>
      </c>
    </row>
    <row r="20" spans="1:3" x14ac:dyDescent="0.2">
      <c r="A20" s="41" t="s">
        <v>733</v>
      </c>
      <c r="B20" s="38" t="s">
        <v>191</v>
      </c>
      <c r="C20" s="38" t="s">
        <v>734</v>
      </c>
    </row>
    <row r="21" spans="1:3" ht="28" x14ac:dyDescent="0.2">
      <c r="A21" s="41" t="s">
        <v>735</v>
      </c>
      <c r="B21" s="38" t="s">
        <v>736</v>
      </c>
      <c r="C21" s="38" t="s">
        <v>737</v>
      </c>
    </row>
    <row r="22" spans="1:3" ht="28" x14ac:dyDescent="0.2">
      <c r="A22" s="41" t="s">
        <v>738</v>
      </c>
      <c r="B22" s="38" t="s">
        <v>739</v>
      </c>
      <c r="C22" s="38" t="s">
        <v>740</v>
      </c>
    </row>
    <row r="23" spans="1:3" ht="18" customHeight="1" x14ac:dyDescent="0.2">
      <c r="A23" s="41" t="s">
        <v>586</v>
      </c>
      <c r="B23" s="38" t="s">
        <v>580</v>
      </c>
      <c r="C23" s="38" t="s">
        <v>580</v>
      </c>
    </row>
    <row r="24" spans="1:3" x14ac:dyDescent="0.2">
      <c r="A24" s="41" t="s">
        <v>741</v>
      </c>
      <c r="B24" s="38" t="s">
        <v>742</v>
      </c>
      <c r="C24" s="38" t="s">
        <v>742</v>
      </c>
    </row>
    <row r="25" spans="1:3" ht="28" x14ac:dyDescent="0.2">
      <c r="A25" s="41" t="s">
        <v>743</v>
      </c>
      <c r="B25" s="38" t="s">
        <v>744</v>
      </c>
      <c r="C25" s="38" t="s">
        <v>745</v>
      </c>
    </row>
    <row r="27" spans="1:3" ht="16" x14ac:dyDescent="0.2">
      <c r="A27" s="32" t="s">
        <v>746</v>
      </c>
    </row>
    <row r="28" spans="1:3" ht="21.75" customHeight="1" x14ac:dyDescent="0.2">
      <c r="A28" s="33"/>
      <c r="B28" s="33" t="s">
        <v>191</v>
      </c>
      <c r="C28" s="34" t="s">
        <v>732</v>
      </c>
    </row>
    <row r="29" spans="1:3" x14ac:dyDescent="0.2">
      <c r="A29" s="41" t="s">
        <v>747</v>
      </c>
      <c r="B29" s="38" t="s">
        <v>191</v>
      </c>
      <c r="C29" s="38" t="s">
        <v>734</v>
      </c>
    </row>
    <row r="30" spans="1:3" ht="28" x14ac:dyDescent="0.2">
      <c r="A30" s="41" t="s">
        <v>735</v>
      </c>
      <c r="B30" s="38" t="s">
        <v>748</v>
      </c>
      <c r="C30" s="38" t="s">
        <v>749</v>
      </c>
    </row>
    <row r="31" spans="1:3" ht="28" x14ac:dyDescent="0.2">
      <c r="A31" s="41" t="s">
        <v>738</v>
      </c>
      <c r="B31" s="38" t="s">
        <v>750</v>
      </c>
      <c r="C31" s="38" t="s">
        <v>751</v>
      </c>
    </row>
    <row r="32" spans="1:3" x14ac:dyDescent="0.2">
      <c r="A32" s="41" t="s">
        <v>586</v>
      </c>
      <c r="B32" s="38" t="s">
        <v>579</v>
      </c>
      <c r="C32" s="38" t="s">
        <v>581</v>
      </c>
    </row>
    <row r="33" spans="1:5" ht="56" x14ac:dyDescent="0.2">
      <c r="A33" s="41" t="s">
        <v>741</v>
      </c>
      <c r="B33" s="38" t="s">
        <v>752</v>
      </c>
      <c r="C33" s="38" t="s">
        <v>753</v>
      </c>
    </row>
    <row r="34" spans="1:5" ht="28" x14ac:dyDescent="0.2">
      <c r="A34" s="41" t="s">
        <v>754</v>
      </c>
      <c r="B34" s="38" t="s">
        <v>755</v>
      </c>
      <c r="C34" s="38" t="s">
        <v>756</v>
      </c>
    </row>
    <row r="36" spans="1:5" ht="16" x14ac:dyDescent="0.2">
      <c r="A36" s="32" t="s">
        <v>757</v>
      </c>
    </row>
    <row r="37" spans="1:5" ht="60" customHeight="1" x14ac:dyDescent="0.2">
      <c r="A37" s="42" t="s">
        <v>758</v>
      </c>
      <c r="B37" s="42"/>
      <c r="C37" s="42"/>
      <c r="D37" s="42"/>
      <c r="E37" s="42"/>
    </row>
  </sheetData>
  <mergeCells count="4">
    <mergeCell ref="A4:E4"/>
    <mergeCell ref="A13:E13"/>
    <mergeCell ref="A16:E16"/>
    <mergeCell ref="A37:E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9"/>
  <sheetViews>
    <sheetView showGridLines="0" workbookViewId="0">
      <pane ySplit="4" topLeftCell="A5" activePane="bottomLeft" state="frozen"/>
      <selection pane="bottomLeft"/>
    </sheetView>
  </sheetViews>
  <sheetFormatPr baseColWidth="10" defaultColWidth="8.83203125" defaultRowHeight="15" x14ac:dyDescent="0.2"/>
  <cols>
    <col min="1" max="1" width="35" customWidth="1"/>
    <col min="2" max="4" width="21" customWidth="1"/>
    <col min="5" max="6" width="24" customWidth="1"/>
    <col min="7" max="7" width="35" customWidth="1"/>
    <col min="8" max="8" width="21" customWidth="1"/>
    <col min="9" max="9" width="30" customWidth="1"/>
    <col min="10" max="11" width="13" customWidth="1"/>
    <col min="12" max="12" width="16" customWidth="1"/>
    <col min="13" max="13" width="24" customWidth="1"/>
    <col min="14" max="14" width="17" customWidth="1"/>
    <col min="15" max="15" width="16" customWidth="1"/>
    <col min="16" max="17" width="35" customWidth="1"/>
    <col min="18" max="20" width="13" customWidth="1"/>
    <col min="21" max="22" width="17" customWidth="1"/>
    <col min="23" max="23" width="13" customWidth="1"/>
    <col min="24" max="25" width="35" customWidth="1"/>
    <col min="26" max="26" width="14" customWidth="1"/>
    <col min="27" max="27" width="15" customWidth="1"/>
    <col min="28" max="28" width="20" customWidth="1"/>
    <col min="29" max="29" width="24" customWidth="1"/>
    <col min="30" max="30" width="28" customWidth="1"/>
  </cols>
  <sheetData>
    <row r="1" spans="1:30" ht="21" x14ac:dyDescent="0.2">
      <c r="A1" s="19" t="s">
        <v>392</v>
      </c>
      <c r="B1" s="18"/>
      <c r="C1" s="18"/>
      <c r="D1" s="18"/>
      <c r="E1" s="18"/>
      <c r="F1" s="18"/>
      <c r="G1" s="18"/>
      <c r="H1" s="18"/>
      <c r="I1" s="18"/>
      <c r="J1" s="18"/>
      <c r="K1" s="18"/>
      <c r="L1" s="18"/>
      <c r="M1" s="18"/>
      <c r="N1" s="18"/>
      <c r="O1" s="18"/>
      <c r="P1" s="18"/>
      <c r="Q1" s="18"/>
      <c r="R1" s="18"/>
      <c r="S1" s="18"/>
      <c r="T1" s="18"/>
      <c r="U1" s="18"/>
      <c r="V1" s="18"/>
      <c r="W1" s="18"/>
      <c r="X1" s="18"/>
      <c r="Y1" s="18"/>
      <c r="Z1" s="18"/>
    </row>
    <row r="4" spans="1:30" ht="16" x14ac:dyDescent="0.2">
      <c r="A4" s="2" t="s">
        <v>349</v>
      </c>
      <c r="B4" s="2" t="s">
        <v>350</v>
      </c>
      <c r="C4" s="2" t="s">
        <v>66</v>
      </c>
      <c r="D4" s="2" t="s">
        <v>351</v>
      </c>
      <c r="E4" s="2" t="s">
        <v>352</v>
      </c>
      <c r="F4" s="2" t="s">
        <v>353</v>
      </c>
      <c r="G4" s="2" t="s">
        <v>235</v>
      </c>
      <c r="H4" s="2" t="s">
        <v>380</v>
      </c>
      <c r="I4" s="2" t="s">
        <v>393</v>
      </c>
      <c r="J4" s="2" t="s">
        <v>394</v>
      </c>
      <c r="K4" s="2" t="s">
        <v>395</v>
      </c>
      <c r="L4" s="2" t="s">
        <v>396</v>
      </c>
      <c r="M4" s="2" t="s">
        <v>357</v>
      </c>
      <c r="N4" s="2" t="s">
        <v>246</v>
      </c>
      <c r="O4" s="2" t="s">
        <v>397</v>
      </c>
      <c r="P4" s="2" t="s">
        <v>270</v>
      </c>
      <c r="Q4" s="2" t="s">
        <v>274</v>
      </c>
      <c r="R4" s="2" t="s">
        <v>398</v>
      </c>
      <c r="S4" s="2" t="s">
        <v>399</v>
      </c>
      <c r="T4" s="2" t="s">
        <v>400</v>
      </c>
      <c r="U4" s="2" t="s">
        <v>401</v>
      </c>
      <c r="V4" s="2" t="s">
        <v>402</v>
      </c>
      <c r="W4" s="2" t="s">
        <v>50</v>
      </c>
      <c r="X4" s="2" t="s">
        <v>334</v>
      </c>
      <c r="Y4" s="2" t="s">
        <v>337</v>
      </c>
      <c r="Z4" s="2" t="s">
        <v>403</v>
      </c>
      <c r="AA4" s="2" t="s">
        <v>295</v>
      </c>
      <c r="AB4" s="15" t="s">
        <v>256</v>
      </c>
      <c r="AC4" s="15" t="s">
        <v>404</v>
      </c>
      <c r="AD4" s="15" t="s">
        <v>405</v>
      </c>
    </row>
    <row r="5" spans="1:30" ht="16" x14ac:dyDescent="0.2">
      <c r="A5" s="3" t="str">
        <f>'Worker Master'!A5</f>
        <v>BSSW0001</v>
      </c>
      <c r="B5" s="3" t="str">
        <f>'Worker Master'!B5</f>
        <v>Sample Worker 1</v>
      </c>
      <c r="C5" s="3" t="str">
        <f>'Worker Master'!E5</f>
        <v>ABC Facilities</v>
      </c>
      <c r="D5" s="3" t="str">
        <f>'Worker Master'!F5</f>
        <v>Site A</v>
      </c>
      <c r="E5" s="3" t="str">
        <f>'Attendance Input'!E5</f>
        <v>Sep-2026</v>
      </c>
      <c r="F5" s="3">
        <f>'Attendance Input'!F5</f>
        <v>30</v>
      </c>
      <c r="G5" s="3">
        <f>MIN(F5,'Attendance Input'!G5+'Attendance Input'!H5+'Attendance Input'!I5)</f>
        <v>29</v>
      </c>
      <c r="H5" s="6">
        <f>'Worker Master'!I5</f>
        <v>30000</v>
      </c>
      <c r="I5" s="6">
        <f>H5*'Worker Master'!J5*G5/F5</f>
        <v>14500</v>
      </c>
      <c r="J5" s="6">
        <f>0</f>
        <v>0</v>
      </c>
      <c r="K5" s="6">
        <f>0</f>
        <v>0</v>
      </c>
      <c r="L5" s="6">
        <f>0</f>
        <v>0</v>
      </c>
      <c r="M5" s="3">
        <f>'Attendance Input'!J5</f>
        <v>8</v>
      </c>
      <c r="N5" s="6">
        <f>M5*(H5/F5/8)*2</f>
        <v>2000</v>
      </c>
      <c r="O5" s="6">
        <f>SUM(I5:L5,N5)</f>
        <v>16500</v>
      </c>
      <c r="P5" s="6">
        <f>IF('Worker Master'!K5="Y",MIN(I5,15000)*12%,0)</f>
        <v>1740</v>
      </c>
      <c r="Q5" s="6">
        <f>IF('Worker Master'!L5="Y",IF(O5&lt;=21000,O5*0.75%,0),0)</f>
        <v>123.75</v>
      </c>
      <c r="R5" s="6">
        <f>0</f>
        <v>0</v>
      </c>
      <c r="S5" s="6">
        <f>0</f>
        <v>0</v>
      </c>
      <c r="T5" s="6">
        <f>0</f>
        <v>0</v>
      </c>
      <c r="U5" s="6">
        <f>0</f>
        <v>0</v>
      </c>
      <c r="V5" s="6">
        <f>SUM(P5:U5)</f>
        <v>1863.75</v>
      </c>
      <c r="W5" s="6">
        <f>O5-V5</f>
        <v>14636.25</v>
      </c>
      <c r="X5" s="6">
        <f>IF('Worker Master'!K5="Y",MIN(I5,15000)*12%,0)</f>
        <v>1740</v>
      </c>
      <c r="Y5" s="6">
        <f>IF('Worker Master'!L5="Y",IF(O5&lt;=21000,O5*3.25%,0),0)</f>
        <v>536.25</v>
      </c>
      <c r="Z5" s="6">
        <f>0</f>
        <v>0</v>
      </c>
      <c r="AA5" s="6">
        <f>O5+X5+Y5+Z5</f>
        <v>18776.25</v>
      </c>
      <c r="AB5" s="3" t="str">
        <f>IF(O5=0,"HOLD","REVIEW")</f>
        <v>REVIEW</v>
      </c>
      <c r="AC5" s="3" t="str">
        <f>"CONFIGURE STATE RULE"</f>
        <v>CONFIGURE STATE RULE</v>
      </c>
      <c r="AD5" s="3" t="str">
        <f>IF(OR(AB5="HOLD",AC5="FAIL"),"HOLD","REVIEW/APPROVE")</f>
        <v>REVIEW/APPROVE</v>
      </c>
    </row>
    <row r="6" spans="1:30" ht="16" x14ac:dyDescent="0.2">
      <c r="A6" s="3" t="str">
        <f>'Worker Master'!A6</f>
        <v>BSSW0002</v>
      </c>
      <c r="B6" s="3" t="str">
        <f>'Worker Master'!B6</f>
        <v>Sample Worker 2</v>
      </c>
      <c r="C6" s="3" t="str">
        <f>'Worker Master'!E6</f>
        <v>ABC Facilities</v>
      </c>
      <c r="D6" s="3" t="str">
        <f>'Worker Master'!F6</f>
        <v>Site A</v>
      </c>
      <c r="E6" s="3" t="str">
        <f>'Attendance Input'!E6</f>
        <v>Sep-2026</v>
      </c>
      <c r="F6" s="3">
        <f>'Attendance Input'!F6</f>
        <v>30</v>
      </c>
      <c r="G6" s="3">
        <f>MIN(F6,'Attendance Input'!G6+'Attendance Input'!H6+'Attendance Input'!I6)</f>
        <v>30</v>
      </c>
      <c r="H6" s="6">
        <f>'Worker Master'!I6</f>
        <v>28000</v>
      </c>
      <c r="I6" s="6">
        <f>H6*'Worker Master'!J6*G6/F6</f>
        <v>14000</v>
      </c>
      <c r="J6" s="6">
        <f>0</f>
        <v>0</v>
      </c>
      <c r="K6" s="6">
        <f>0</f>
        <v>0</v>
      </c>
      <c r="L6" s="6">
        <f>0</f>
        <v>0</v>
      </c>
      <c r="M6" s="3">
        <f>'Attendance Input'!J6</f>
        <v>4</v>
      </c>
      <c r="N6" s="6">
        <f>M6*(H6/F6/8)*2</f>
        <v>933.33333333333337</v>
      </c>
      <c r="O6" s="6">
        <f>SUM(I6:L6,N6)</f>
        <v>14933.333333333334</v>
      </c>
      <c r="P6" s="6">
        <f>IF('Worker Master'!K6="Y",MIN(I6,15000)*12%,0)</f>
        <v>1680</v>
      </c>
      <c r="Q6" s="6">
        <f>IF('Worker Master'!L6="Y",IF(O6&lt;=21000,O6*0.75%,0),0)</f>
        <v>112</v>
      </c>
      <c r="R6" s="6">
        <f>0</f>
        <v>0</v>
      </c>
      <c r="S6" s="6">
        <f>0</f>
        <v>0</v>
      </c>
      <c r="T6" s="6">
        <f>0</f>
        <v>0</v>
      </c>
      <c r="U6" s="6">
        <f>0</f>
        <v>0</v>
      </c>
      <c r="V6" s="6">
        <f>SUM(P6:U6)</f>
        <v>1792</v>
      </c>
      <c r="W6" s="6">
        <f>O6-V6</f>
        <v>13141.333333333334</v>
      </c>
      <c r="X6" s="6">
        <f>IF('Worker Master'!K6="Y",MIN(I6,15000)*12%,0)</f>
        <v>1680</v>
      </c>
      <c r="Y6" s="6">
        <f>IF('Worker Master'!L6="Y",IF(O6&lt;=21000,O6*3.25%,0),0)</f>
        <v>485.33333333333337</v>
      </c>
      <c r="Z6" s="6">
        <f>0</f>
        <v>0</v>
      </c>
      <c r="AA6" s="6">
        <f>O6+X6+Y6+Z6</f>
        <v>17098.666666666668</v>
      </c>
      <c r="AB6" s="3" t="str">
        <f>IF(O6=0,"HOLD","REVIEW")</f>
        <v>REVIEW</v>
      </c>
      <c r="AC6" s="3" t="str">
        <f>"CONFIGURE STATE RULE"</f>
        <v>CONFIGURE STATE RULE</v>
      </c>
      <c r="AD6" s="3" t="str">
        <f>IF(OR(AB6="HOLD",AC6="FAIL"),"HOLD","REVIEW/APPROVE")</f>
        <v>REVIEW/APPROVE</v>
      </c>
    </row>
    <row r="7" spans="1:30" ht="16" x14ac:dyDescent="0.2">
      <c r="A7" s="3" t="str">
        <f>'Worker Master'!A7</f>
        <v>BSSW0003</v>
      </c>
      <c r="B7" s="3" t="str">
        <f>'Worker Master'!B7</f>
        <v>Sample Worker 3</v>
      </c>
      <c r="C7" s="3" t="str">
        <f>'Worker Master'!E7</f>
        <v>XYZ Services</v>
      </c>
      <c r="D7" s="3" t="str">
        <f>'Worker Master'!F7</f>
        <v>Site B</v>
      </c>
      <c r="E7" s="3" t="str">
        <f>'Attendance Input'!E7</f>
        <v>Sep-2026</v>
      </c>
      <c r="F7" s="3">
        <f>'Attendance Input'!F7</f>
        <v>30</v>
      </c>
      <c r="G7" s="3">
        <f>MIN(F7,'Attendance Input'!G7+'Attendance Input'!H7+'Attendance Input'!I7)</f>
        <v>22</v>
      </c>
      <c r="H7" s="6">
        <f>'Worker Master'!I7</f>
        <v>22000</v>
      </c>
      <c r="I7" s="6">
        <f>H7*'Worker Master'!J7*G7/F7</f>
        <v>8066.666666666667</v>
      </c>
      <c r="J7" s="6">
        <f>0</f>
        <v>0</v>
      </c>
      <c r="K7" s="6">
        <f>0</f>
        <v>0</v>
      </c>
      <c r="L7" s="6">
        <f>0</f>
        <v>0</v>
      </c>
      <c r="M7" s="3">
        <f>'Attendance Input'!J7</f>
        <v>0</v>
      </c>
      <c r="N7" s="6">
        <f>M7*(H7/F7/8)*2</f>
        <v>0</v>
      </c>
      <c r="O7" s="6">
        <f>SUM(I7:L7,N7)</f>
        <v>8066.666666666667</v>
      </c>
      <c r="P7" s="6">
        <f>IF('Worker Master'!K7="Y",MIN(I7,15000)*12%,0)</f>
        <v>968</v>
      </c>
      <c r="Q7" s="6">
        <f>IF('Worker Master'!L7="Y",IF(O7&lt;=21000,O7*0.75%,0),0)</f>
        <v>60.5</v>
      </c>
      <c r="R7" s="6">
        <f>0</f>
        <v>0</v>
      </c>
      <c r="S7" s="6">
        <f>0</f>
        <v>0</v>
      </c>
      <c r="T7" s="6">
        <f>0</f>
        <v>0</v>
      </c>
      <c r="U7" s="6">
        <f>0</f>
        <v>0</v>
      </c>
      <c r="V7" s="6">
        <f>SUM(P7:U7)</f>
        <v>1028.5</v>
      </c>
      <c r="W7" s="6">
        <f>O7-V7</f>
        <v>7038.166666666667</v>
      </c>
      <c r="X7" s="6">
        <f>IF('Worker Master'!K7="Y",MIN(I7,15000)*12%,0)</f>
        <v>968</v>
      </c>
      <c r="Y7" s="6">
        <f>IF('Worker Master'!L7="Y",IF(O7&lt;=21000,O7*3.25%,0),0)</f>
        <v>262.16666666666669</v>
      </c>
      <c r="Z7" s="6">
        <f>0</f>
        <v>0</v>
      </c>
      <c r="AA7" s="6">
        <f>O7+X7+Y7+Z7</f>
        <v>9296.8333333333339</v>
      </c>
      <c r="AB7" s="3" t="str">
        <f>IF(O7=0,"HOLD","REVIEW")</f>
        <v>REVIEW</v>
      </c>
      <c r="AC7" s="3" t="str">
        <f>"CONFIGURE STATE RULE"</f>
        <v>CONFIGURE STATE RULE</v>
      </c>
      <c r="AD7" s="3" t="str">
        <f>IF(OR(AB7="HOLD",AC7="FAIL"),"HOLD","REVIEW/APPROVE")</f>
        <v>REVIEW/APPROVE</v>
      </c>
    </row>
    <row r="9" spans="1:30" ht="16" x14ac:dyDescent="0.2">
      <c r="A9" s="7" t="s">
        <v>406</v>
      </c>
      <c r="G9" s="8">
        <f t="shared" ref="G9:AA9" si="0">SUM(G5:G7)</f>
        <v>81</v>
      </c>
      <c r="H9" s="9">
        <f t="shared" si="0"/>
        <v>80000</v>
      </c>
      <c r="I9" s="9">
        <f t="shared" si="0"/>
        <v>36566.666666666664</v>
      </c>
      <c r="J9" s="9">
        <f t="shared" si="0"/>
        <v>0</v>
      </c>
      <c r="K9" s="9">
        <f t="shared" si="0"/>
        <v>0</v>
      </c>
      <c r="L9" s="9">
        <f t="shared" si="0"/>
        <v>0</v>
      </c>
      <c r="M9" s="9">
        <f t="shared" si="0"/>
        <v>12</v>
      </c>
      <c r="N9" s="9">
        <f t="shared" si="0"/>
        <v>2933.3333333333335</v>
      </c>
      <c r="O9" s="9">
        <f t="shared" si="0"/>
        <v>39500</v>
      </c>
      <c r="P9" s="9">
        <f t="shared" si="0"/>
        <v>4388</v>
      </c>
      <c r="Q9" s="9">
        <f t="shared" si="0"/>
        <v>296.25</v>
      </c>
      <c r="R9" s="9">
        <f t="shared" si="0"/>
        <v>0</v>
      </c>
      <c r="S9" s="9">
        <f t="shared" si="0"/>
        <v>0</v>
      </c>
      <c r="T9" s="9">
        <f t="shared" si="0"/>
        <v>0</v>
      </c>
      <c r="U9" s="9">
        <f t="shared" si="0"/>
        <v>0</v>
      </c>
      <c r="V9" s="9">
        <f t="shared" si="0"/>
        <v>4684.25</v>
      </c>
      <c r="W9" s="9">
        <f t="shared" si="0"/>
        <v>34815.75</v>
      </c>
      <c r="X9" s="9">
        <f t="shared" si="0"/>
        <v>4388</v>
      </c>
      <c r="Y9" s="9">
        <f t="shared" si="0"/>
        <v>1283.75</v>
      </c>
      <c r="Z9" s="9">
        <f t="shared" si="0"/>
        <v>0</v>
      </c>
      <c r="AA9" s="9">
        <f t="shared" si="0"/>
        <v>45171.750000000007</v>
      </c>
    </row>
  </sheetData>
  <autoFilter ref="A4:AA7" xr:uid="{00000000-0009-0000-0000-000006000000}"/>
  <mergeCells count="1">
    <mergeCell ref="A1:Z1"/>
  </mergeCells>
  <conditionalFormatting sqref="W5:W1000">
    <cfRule type="expression" dxfId="0" priority="1">
      <formula>W5&lt;0</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showGridLines="0" workbookViewId="0">
      <pane ySplit="4" topLeftCell="A5" activePane="bottomLeft" state="frozen"/>
      <selection pane="bottomLeft"/>
    </sheetView>
  </sheetViews>
  <sheetFormatPr baseColWidth="10" defaultColWidth="8.83203125" defaultRowHeight="15" x14ac:dyDescent="0.2"/>
  <cols>
    <col min="1" max="1" width="35" customWidth="1"/>
    <col min="2" max="2" width="23" customWidth="1"/>
    <col min="3" max="3" width="22" customWidth="1"/>
    <col min="4" max="5" width="30" customWidth="1"/>
    <col min="6" max="6" width="35" customWidth="1"/>
    <col min="7" max="7" width="12" customWidth="1"/>
    <col min="8" max="8" width="15" customWidth="1"/>
  </cols>
  <sheetData>
    <row r="1" spans="1:8" ht="21" x14ac:dyDescent="0.2">
      <c r="A1" s="19" t="s">
        <v>407</v>
      </c>
      <c r="B1" s="18"/>
      <c r="C1" s="18"/>
      <c r="D1" s="18"/>
      <c r="E1" s="18"/>
      <c r="F1" s="18"/>
      <c r="G1" s="18"/>
      <c r="H1" s="18"/>
    </row>
    <row r="4" spans="1:8" ht="16" x14ac:dyDescent="0.2">
      <c r="A4" s="2" t="s">
        <v>408</v>
      </c>
      <c r="B4" s="2" t="s">
        <v>409</v>
      </c>
      <c r="C4" s="2" t="s">
        <v>410</v>
      </c>
      <c r="D4" s="2" t="s">
        <v>411</v>
      </c>
      <c r="E4" s="2" t="s">
        <v>412</v>
      </c>
      <c r="F4" s="2" t="s">
        <v>413</v>
      </c>
      <c r="G4" s="2" t="s">
        <v>414</v>
      </c>
      <c r="H4" s="2" t="s">
        <v>415</v>
      </c>
    </row>
    <row r="5" spans="1:8" ht="16" x14ac:dyDescent="0.2">
      <c r="A5" s="3" t="s">
        <v>416</v>
      </c>
      <c r="B5" s="3" t="s">
        <v>417</v>
      </c>
      <c r="C5" s="3" t="s">
        <v>66</v>
      </c>
      <c r="D5" s="3" t="s">
        <v>73</v>
      </c>
      <c r="E5" s="3" t="s">
        <v>418</v>
      </c>
      <c r="F5" s="3" t="s">
        <v>419</v>
      </c>
      <c r="G5" s="3" t="s">
        <v>122</v>
      </c>
      <c r="H5" s="3" t="s">
        <v>190</v>
      </c>
    </row>
    <row r="6" spans="1:8" ht="16" x14ac:dyDescent="0.2">
      <c r="A6" s="3" t="s">
        <v>87</v>
      </c>
      <c r="B6" s="3" t="s">
        <v>420</v>
      </c>
      <c r="C6" s="3" t="s">
        <v>421</v>
      </c>
      <c r="D6" s="3" t="s">
        <v>422</v>
      </c>
      <c r="E6" s="3" t="s">
        <v>423</v>
      </c>
      <c r="F6" s="3" t="s">
        <v>57</v>
      </c>
      <c r="G6" s="3" t="s">
        <v>122</v>
      </c>
      <c r="H6" s="3" t="s">
        <v>80</v>
      </c>
    </row>
    <row r="7" spans="1:8" ht="16" x14ac:dyDescent="0.2">
      <c r="A7" s="3" t="s">
        <v>63</v>
      </c>
      <c r="B7" s="3" t="s">
        <v>424</v>
      </c>
      <c r="C7" s="3" t="s">
        <v>66</v>
      </c>
      <c r="D7" s="3" t="s">
        <v>425</v>
      </c>
      <c r="E7" s="3" t="s">
        <v>426</v>
      </c>
      <c r="F7" s="3" t="s">
        <v>427</v>
      </c>
      <c r="G7" s="3" t="s">
        <v>122</v>
      </c>
      <c r="H7" s="3" t="s">
        <v>428</v>
      </c>
    </row>
    <row r="8" spans="1:8" ht="16" x14ac:dyDescent="0.2">
      <c r="A8" s="3" t="s">
        <v>359</v>
      </c>
      <c r="B8" s="3" t="s">
        <v>429</v>
      </c>
      <c r="C8" s="3" t="s">
        <v>430</v>
      </c>
      <c r="D8" s="3" t="s">
        <v>431</v>
      </c>
      <c r="E8" s="3" t="s">
        <v>432</v>
      </c>
      <c r="F8" s="3" t="s">
        <v>427</v>
      </c>
      <c r="G8" s="3" t="s">
        <v>122</v>
      </c>
      <c r="H8" s="3" t="s">
        <v>433</v>
      </c>
    </row>
    <row r="9" spans="1:8" ht="16" x14ac:dyDescent="0.2">
      <c r="A9" s="3" t="s">
        <v>434</v>
      </c>
      <c r="B9" s="3" t="s">
        <v>435</v>
      </c>
      <c r="C9" s="3" t="s">
        <v>80</v>
      </c>
      <c r="D9" s="3" t="s">
        <v>436</v>
      </c>
      <c r="E9" s="3" t="s">
        <v>437</v>
      </c>
      <c r="F9" s="3" t="s">
        <v>438</v>
      </c>
      <c r="G9" s="3" t="s">
        <v>122</v>
      </c>
      <c r="H9" s="3" t="s">
        <v>439</v>
      </c>
    </row>
    <row r="10" spans="1:8" ht="16" x14ac:dyDescent="0.2">
      <c r="A10" s="3" t="s">
        <v>181</v>
      </c>
      <c r="B10" s="3" t="s">
        <v>440</v>
      </c>
      <c r="C10" s="3" t="s">
        <v>94</v>
      </c>
      <c r="D10" s="3" t="s">
        <v>441</v>
      </c>
      <c r="E10" s="3" t="s">
        <v>442</v>
      </c>
      <c r="F10" s="3" t="s">
        <v>443</v>
      </c>
      <c r="G10" s="3" t="s">
        <v>122</v>
      </c>
      <c r="H10" s="3" t="s">
        <v>433</v>
      </c>
    </row>
    <row r="11" spans="1:8" ht="16" x14ac:dyDescent="0.2">
      <c r="A11" s="3" t="s">
        <v>444</v>
      </c>
      <c r="B11" s="3" t="s">
        <v>445</v>
      </c>
      <c r="C11" s="3" t="s">
        <v>15</v>
      </c>
      <c r="D11" s="3" t="s">
        <v>422</v>
      </c>
      <c r="E11" s="3" t="s">
        <v>446</v>
      </c>
      <c r="F11" s="3" t="s">
        <v>447</v>
      </c>
      <c r="G11" s="3" t="s">
        <v>122</v>
      </c>
      <c r="H11" s="3" t="s">
        <v>433</v>
      </c>
    </row>
  </sheetData>
  <mergeCells count="1">
    <mergeCell ref="A1:H1"/>
  </mergeCell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
  <sheetViews>
    <sheetView showGridLines="0" workbookViewId="0">
      <pane ySplit="4" topLeftCell="A5" activePane="bottomLeft" state="frozen"/>
      <selection pane="bottomLeft"/>
    </sheetView>
  </sheetViews>
  <sheetFormatPr baseColWidth="10" defaultColWidth="8.83203125" defaultRowHeight="15" x14ac:dyDescent="0.2"/>
  <cols>
    <col min="1" max="2" width="35" customWidth="1"/>
    <col min="3" max="3" width="12" customWidth="1"/>
    <col min="4" max="4" width="35" customWidth="1"/>
    <col min="5" max="5" width="21" customWidth="1"/>
    <col min="6" max="6" width="35" customWidth="1"/>
    <col min="7" max="7" width="12" customWidth="1"/>
  </cols>
  <sheetData>
    <row r="1" spans="1:7" ht="21" x14ac:dyDescent="0.2">
      <c r="A1" s="19" t="s">
        <v>448</v>
      </c>
      <c r="B1" s="18"/>
      <c r="C1" s="18"/>
      <c r="D1" s="18"/>
      <c r="E1" s="18"/>
      <c r="F1" s="18"/>
      <c r="G1" s="18"/>
    </row>
    <row r="4" spans="1:7" ht="16" x14ac:dyDescent="0.2">
      <c r="A4" s="2" t="s">
        <v>449</v>
      </c>
      <c r="B4" s="2" t="s">
        <v>450</v>
      </c>
      <c r="C4" s="2" t="s">
        <v>451</v>
      </c>
      <c r="D4" s="2" t="s">
        <v>452</v>
      </c>
      <c r="E4" s="2" t="s">
        <v>111</v>
      </c>
      <c r="F4" s="2" t="s">
        <v>453</v>
      </c>
      <c r="G4" s="2" t="s">
        <v>454</v>
      </c>
    </row>
    <row r="5" spans="1:7" ht="16" x14ac:dyDescent="0.2">
      <c r="A5" s="3" t="s">
        <v>455</v>
      </c>
      <c r="B5" s="3" t="s">
        <v>456</v>
      </c>
      <c r="C5" s="3" t="s">
        <v>457</v>
      </c>
      <c r="D5" s="3" t="s">
        <v>458</v>
      </c>
      <c r="E5" s="3" t="s">
        <v>459</v>
      </c>
      <c r="F5" s="3" t="s">
        <v>419</v>
      </c>
      <c r="G5" s="3" t="s">
        <v>233</v>
      </c>
    </row>
    <row r="6" spans="1:7" ht="16" x14ac:dyDescent="0.2">
      <c r="A6" s="3" t="s">
        <v>460</v>
      </c>
      <c r="B6" s="3" t="s">
        <v>461</v>
      </c>
      <c r="C6" s="3" t="s">
        <v>457</v>
      </c>
      <c r="D6" s="3" t="s">
        <v>462</v>
      </c>
      <c r="E6" s="3" t="s">
        <v>463</v>
      </c>
      <c r="F6" s="3" t="s">
        <v>464</v>
      </c>
      <c r="G6" s="3" t="s">
        <v>233</v>
      </c>
    </row>
    <row r="7" spans="1:7" ht="16" x14ac:dyDescent="0.2">
      <c r="A7" s="3" t="s">
        <v>465</v>
      </c>
      <c r="B7" s="3" t="s">
        <v>466</v>
      </c>
      <c r="C7" s="3" t="s">
        <v>467</v>
      </c>
      <c r="D7" s="3" t="s">
        <v>468</v>
      </c>
      <c r="E7" s="3" t="s">
        <v>15</v>
      </c>
      <c r="F7" s="3" t="s">
        <v>469</v>
      </c>
      <c r="G7" s="3" t="s">
        <v>233</v>
      </c>
    </row>
    <row r="8" spans="1:7" ht="16" x14ac:dyDescent="0.2">
      <c r="A8" s="3" t="s">
        <v>470</v>
      </c>
      <c r="B8" s="3" t="s">
        <v>471</v>
      </c>
      <c r="C8" s="3" t="s">
        <v>467</v>
      </c>
      <c r="D8" s="3" t="s">
        <v>472</v>
      </c>
      <c r="E8" s="3" t="s">
        <v>422</v>
      </c>
      <c r="F8" s="3" t="s">
        <v>473</v>
      </c>
      <c r="G8" s="3" t="s">
        <v>233</v>
      </c>
    </row>
    <row r="9" spans="1:7" ht="16" x14ac:dyDescent="0.2">
      <c r="A9" s="3" t="s">
        <v>474</v>
      </c>
      <c r="B9" s="3" t="s">
        <v>475</v>
      </c>
      <c r="C9" s="3" t="s">
        <v>476</v>
      </c>
      <c r="D9" s="3" t="s">
        <v>477</v>
      </c>
      <c r="E9" s="3" t="s">
        <v>422</v>
      </c>
      <c r="F9" s="3" t="s">
        <v>478</v>
      </c>
      <c r="G9" s="3" t="s">
        <v>233</v>
      </c>
    </row>
    <row r="10" spans="1:7" ht="32" x14ac:dyDescent="0.2">
      <c r="A10" s="3" t="s">
        <v>479</v>
      </c>
      <c r="B10" s="3" t="s">
        <v>480</v>
      </c>
      <c r="C10" s="3" t="s">
        <v>457</v>
      </c>
      <c r="D10" s="3" t="s">
        <v>481</v>
      </c>
      <c r="E10" s="3" t="s">
        <v>482</v>
      </c>
      <c r="F10" s="3" t="s">
        <v>483</v>
      </c>
      <c r="G10" s="3" t="s">
        <v>233</v>
      </c>
    </row>
    <row r="11" spans="1:7" ht="16" x14ac:dyDescent="0.2">
      <c r="A11" s="3" t="s">
        <v>484</v>
      </c>
      <c r="B11" s="3" t="s">
        <v>485</v>
      </c>
      <c r="C11" s="3" t="s">
        <v>457</v>
      </c>
      <c r="D11" s="3" t="s">
        <v>486</v>
      </c>
      <c r="E11" s="3" t="s">
        <v>181</v>
      </c>
      <c r="F11" s="3" t="s">
        <v>487</v>
      </c>
      <c r="G11" s="3" t="s">
        <v>233</v>
      </c>
    </row>
    <row r="12" spans="1:7" ht="16" x14ac:dyDescent="0.2">
      <c r="A12" s="3" t="s">
        <v>488</v>
      </c>
      <c r="B12" s="3" t="s">
        <v>489</v>
      </c>
      <c r="C12" s="3" t="s">
        <v>457</v>
      </c>
      <c r="D12" s="3" t="s">
        <v>490</v>
      </c>
      <c r="E12" s="3" t="s">
        <v>80</v>
      </c>
      <c r="F12" s="3" t="s">
        <v>491</v>
      </c>
      <c r="G12" s="3" t="s">
        <v>233</v>
      </c>
    </row>
  </sheetData>
  <mergeCells count="1">
    <mergeCell ref="A1:G1"/>
  </mergeCell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showGridLines="0" workbookViewId="0"/>
  </sheetViews>
  <sheetFormatPr baseColWidth="10" defaultColWidth="8.83203125" defaultRowHeight="15" x14ac:dyDescent="0.2"/>
  <cols>
    <col min="1" max="2" width="35" customWidth="1"/>
    <col min="3" max="8" width="12" customWidth="1"/>
  </cols>
  <sheetData>
    <row r="1" spans="1:8" ht="21" x14ac:dyDescent="0.2">
      <c r="A1" s="19" t="s">
        <v>492</v>
      </c>
      <c r="B1" s="18"/>
      <c r="C1" s="18"/>
      <c r="D1" s="18"/>
      <c r="E1" s="18"/>
      <c r="F1" s="18"/>
      <c r="G1" s="18"/>
      <c r="H1" s="18"/>
    </row>
    <row r="3" spans="1:8" ht="20" x14ac:dyDescent="0.2">
      <c r="A3" s="10" t="s">
        <v>493</v>
      </c>
      <c r="B3" s="11">
        <f>COUNTA('Payroll Register'!A5:A7)</f>
        <v>3</v>
      </c>
    </row>
    <row r="4" spans="1:8" ht="20" x14ac:dyDescent="0.2">
      <c r="A4" s="10" t="s">
        <v>494</v>
      </c>
      <c r="B4" s="12">
        <f>SUM('Payroll Register'!O5:O7)</f>
        <v>39500</v>
      </c>
    </row>
    <row r="5" spans="1:8" ht="20" x14ac:dyDescent="0.2">
      <c r="A5" s="10" t="s">
        <v>281</v>
      </c>
      <c r="B5" s="12">
        <f>SUM('Payroll Register'!V5:V7)</f>
        <v>4684.25</v>
      </c>
    </row>
    <row r="6" spans="1:8" ht="20" x14ac:dyDescent="0.2">
      <c r="A6" s="10" t="s">
        <v>495</v>
      </c>
      <c r="B6" s="12">
        <f>SUM('Payroll Register'!W5:W7)</f>
        <v>34815.75</v>
      </c>
    </row>
    <row r="7" spans="1:8" ht="20" x14ac:dyDescent="0.2">
      <c r="A7" s="10" t="s">
        <v>295</v>
      </c>
      <c r="B7" s="12">
        <f>SUM('Payroll Register'!AA5:AA7)</f>
        <v>45171.750000000007</v>
      </c>
    </row>
    <row r="8" spans="1:8" ht="20" x14ac:dyDescent="0.2">
      <c r="A8" s="10" t="s">
        <v>357</v>
      </c>
      <c r="B8" s="11">
        <f>SUM('Payroll Register'!M5:M7)</f>
        <v>12</v>
      </c>
    </row>
    <row r="9" spans="1:8" ht="20" x14ac:dyDescent="0.2">
      <c r="A9" s="10" t="s">
        <v>496</v>
      </c>
      <c r="B9" s="11">
        <f>COUNTIF('Attendance Input'!K5:K7,"Exception")</f>
        <v>1</v>
      </c>
    </row>
    <row r="12" spans="1:8" x14ac:dyDescent="0.2">
      <c r="A12" s="20" t="s">
        <v>497</v>
      </c>
      <c r="B12" s="18"/>
      <c r="C12" s="18"/>
      <c r="D12" s="18"/>
      <c r="E12" s="18"/>
      <c r="F12" s="18"/>
      <c r="G12" s="18"/>
      <c r="H12" s="18"/>
    </row>
    <row r="13" spans="1:8" x14ac:dyDescent="0.2">
      <c r="A13" s="21" t="s">
        <v>498</v>
      </c>
      <c r="B13" s="18"/>
      <c r="C13" s="18"/>
      <c r="D13" s="18"/>
      <c r="E13" s="18"/>
      <c r="F13" s="18"/>
      <c r="G13" s="18"/>
      <c r="H13" s="18"/>
    </row>
    <row r="14" spans="1:8" x14ac:dyDescent="0.2">
      <c r="A14" s="18"/>
      <c r="B14" s="18"/>
      <c r="C14" s="18"/>
      <c r="D14" s="18"/>
      <c r="E14" s="18"/>
      <c r="F14" s="18"/>
      <c r="G14" s="18"/>
      <c r="H14" s="18"/>
    </row>
  </sheetData>
  <mergeCells count="3">
    <mergeCell ref="A12:H12"/>
    <mergeCell ref="A13:H14"/>
    <mergeCell ref="A1:H1"/>
  </mergeCell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2"/>
  <sheetViews>
    <sheetView showGridLines="0" workbookViewId="0">
      <pane ySplit="4" topLeftCell="A5" activePane="bottomLeft" state="frozen"/>
      <selection pane="bottomLeft"/>
    </sheetView>
  </sheetViews>
  <sheetFormatPr baseColWidth="10" defaultColWidth="8.83203125" defaultRowHeight="15" x14ac:dyDescent="0.2"/>
  <cols>
    <col min="1" max="1" width="35" customWidth="1"/>
    <col min="2" max="2" width="23" customWidth="1"/>
    <col min="3" max="3" width="35" customWidth="1"/>
    <col min="4" max="4" width="24" customWidth="1"/>
    <col min="5" max="5" width="18" customWidth="1"/>
    <col min="6" max="8" width="26" customWidth="1"/>
  </cols>
  <sheetData>
    <row r="1" spans="1:8" ht="21" x14ac:dyDescent="0.2">
      <c r="A1" s="19" t="s">
        <v>499</v>
      </c>
      <c r="B1" s="18"/>
      <c r="C1" s="18"/>
      <c r="D1" s="18"/>
      <c r="E1" s="18"/>
      <c r="F1" s="18"/>
      <c r="G1" s="18"/>
      <c r="H1" s="18"/>
    </row>
    <row r="4" spans="1:8" ht="16" x14ac:dyDescent="0.2">
      <c r="A4" s="2" t="s">
        <v>500</v>
      </c>
      <c r="B4" s="2" t="s">
        <v>501</v>
      </c>
      <c r="C4" s="2" t="s">
        <v>502</v>
      </c>
      <c r="D4" s="2" t="s">
        <v>503</v>
      </c>
      <c r="E4" s="2" t="s">
        <v>504</v>
      </c>
      <c r="F4" s="2" t="s">
        <v>505</v>
      </c>
      <c r="G4" s="2" t="s">
        <v>1</v>
      </c>
      <c r="H4" s="2" t="s">
        <v>506</v>
      </c>
    </row>
    <row r="5" spans="1:8" ht="16" x14ac:dyDescent="0.2">
      <c r="A5" s="3" t="s">
        <v>507</v>
      </c>
      <c r="B5" s="3" t="s">
        <v>508</v>
      </c>
      <c r="C5" s="3" t="s">
        <v>509</v>
      </c>
      <c r="D5" s="3" t="s">
        <v>510</v>
      </c>
      <c r="E5" s="3" t="s">
        <v>511</v>
      </c>
      <c r="F5" s="3" t="s">
        <v>512</v>
      </c>
      <c r="G5" s="3" t="s">
        <v>513</v>
      </c>
      <c r="H5" s="3" t="s">
        <v>514</v>
      </c>
    </row>
    <row r="6" spans="1:8" ht="16" x14ac:dyDescent="0.2">
      <c r="A6" s="3" t="s">
        <v>66</v>
      </c>
      <c r="B6" s="3" t="s">
        <v>515</v>
      </c>
      <c r="C6" s="3" t="s">
        <v>516</v>
      </c>
      <c r="D6" s="3" t="s">
        <v>510</v>
      </c>
      <c r="E6" s="3" t="s">
        <v>511</v>
      </c>
      <c r="F6" s="3" t="s">
        <v>517</v>
      </c>
      <c r="G6" s="3" t="s">
        <v>518</v>
      </c>
      <c r="H6" s="3" t="s">
        <v>519</v>
      </c>
    </row>
    <row r="7" spans="1:8" ht="16" x14ac:dyDescent="0.2">
      <c r="A7" s="3" t="s">
        <v>416</v>
      </c>
      <c r="B7" s="3" t="s">
        <v>520</v>
      </c>
      <c r="C7" s="3" t="s">
        <v>521</v>
      </c>
      <c r="D7" s="3" t="s">
        <v>522</v>
      </c>
      <c r="E7" s="3" t="s">
        <v>511</v>
      </c>
      <c r="F7" s="3" t="s">
        <v>523</v>
      </c>
      <c r="G7" s="3" t="s">
        <v>524</v>
      </c>
      <c r="H7" s="3" t="s">
        <v>525</v>
      </c>
    </row>
    <row r="8" spans="1:8" ht="16" x14ac:dyDescent="0.2">
      <c r="A8" s="3" t="s">
        <v>526</v>
      </c>
      <c r="B8" s="3" t="s">
        <v>238</v>
      </c>
      <c r="C8" s="3" t="s">
        <v>527</v>
      </c>
      <c r="D8" s="3" t="s">
        <v>528</v>
      </c>
      <c r="E8" s="3" t="s">
        <v>511</v>
      </c>
      <c r="F8" s="3" t="s">
        <v>529</v>
      </c>
      <c r="G8" s="3" t="s">
        <v>530</v>
      </c>
      <c r="H8" s="3" t="s">
        <v>531</v>
      </c>
    </row>
    <row r="9" spans="1:8" ht="16" x14ac:dyDescent="0.2">
      <c r="A9" s="3" t="s">
        <v>532</v>
      </c>
      <c r="B9" s="3" t="s">
        <v>533</v>
      </c>
      <c r="C9" s="3" t="s">
        <v>534</v>
      </c>
      <c r="D9" s="3" t="s">
        <v>535</v>
      </c>
      <c r="E9" s="3" t="s">
        <v>511</v>
      </c>
      <c r="F9" s="3" t="s">
        <v>529</v>
      </c>
      <c r="G9" s="3" t="s">
        <v>536</v>
      </c>
      <c r="H9" s="3" t="s">
        <v>537</v>
      </c>
    </row>
    <row r="10" spans="1:8" ht="16" x14ac:dyDescent="0.2">
      <c r="A10" s="3" t="s">
        <v>87</v>
      </c>
      <c r="B10" s="3" t="s">
        <v>538</v>
      </c>
      <c r="C10" s="3" t="s">
        <v>539</v>
      </c>
      <c r="D10" s="3" t="s">
        <v>29</v>
      </c>
      <c r="E10" s="3" t="s">
        <v>540</v>
      </c>
      <c r="F10" s="3" t="s">
        <v>541</v>
      </c>
      <c r="G10" s="3" t="s">
        <v>84</v>
      </c>
      <c r="H10" s="3" t="s">
        <v>542</v>
      </c>
    </row>
    <row r="11" spans="1:8" ht="16" x14ac:dyDescent="0.2">
      <c r="A11" s="3" t="s">
        <v>434</v>
      </c>
      <c r="B11" s="3" t="s">
        <v>543</v>
      </c>
      <c r="C11" s="3" t="s">
        <v>544</v>
      </c>
      <c r="D11" s="3" t="s">
        <v>545</v>
      </c>
      <c r="E11" s="3" t="s">
        <v>546</v>
      </c>
      <c r="F11" s="3" t="s">
        <v>547</v>
      </c>
      <c r="G11" s="3" t="s">
        <v>548</v>
      </c>
      <c r="H11" s="3" t="s">
        <v>438</v>
      </c>
    </row>
    <row r="12" spans="1:8" ht="16" x14ac:dyDescent="0.2">
      <c r="A12" s="3" t="s">
        <v>181</v>
      </c>
      <c r="B12" s="3" t="s">
        <v>549</v>
      </c>
      <c r="C12" s="3" t="s">
        <v>550</v>
      </c>
      <c r="D12" s="3" t="s">
        <v>551</v>
      </c>
      <c r="E12" s="3" t="s">
        <v>552</v>
      </c>
      <c r="F12" s="3" t="s">
        <v>553</v>
      </c>
      <c r="G12" s="3" t="s">
        <v>554</v>
      </c>
      <c r="H12" s="3" t="s">
        <v>555</v>
      </c>
    </row>
  </sheetData>
  <mergeCells count="1">
    <mergeCell ref="A1:H1"/>
  </mergeCells>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workbookViewId="0"/>
  </sheetViews>
  <sheetFormatPr baseColWidth="10" defaultColWidth="8.83203125" defaultRowHeight="15" x14ac:dyDescent="0.2"/>
  <cols>
    <col min="1" max="1" width="24" customWidth="1"/>
    <col min="2" max="8" width="18" customWidth="1"/>
  </cols>
  <sheetData>
    <row r="1" spans="1:8" ht="21" x14ac:dyDescent="0.2">
      <c r="A1" s="19" t="s">
        <v>556</v>
      </c>
      <c r="B1" s="18"/>
      <c r="C1" s="18"/>
      <c r="D1" s="18"/>
      <c r="E1" s="18"/>
      <c r="F1" s="18"/>
      <c r="G1" s="18"/>
      <c r="H1" s="18"/>
    </row>
    <row r="3" spans="1:8" x14ac:dyDescent="0.2">
      <c r="A3" s="13" t="s">
        <v>557</v>
      </c>
      <c r="B3" s="22" t="s">
        <v>558</v>
      </c>
      <c r="C3" s="23"/>
      <c r="D3" s="23"/>
      <c r="E3" s="23"/>
      <c r="F3" s="23"/>
      <c r="G3" s="23"/>
      <c r="H3" s="24"/>
    </row>
    <row r="4" spans="1:8" x14ac:dyDescent="0.2">
      <c r="A4" s="13" t="s">
        <v>559</v>
      </c>
      <c r="B4" s="22" t="s">
        <v>560</v>
      </c>
      <c r="C4" s="23"/>
      <c r="D4" s="23"/>
      <c r="E4" s="23"/>
      <c r="F4" s="23"/>
      <c r="G4" s="23"/>
      <c r="H4" s="24"/>
    </row>
    <row r="5" spans="1:8" x14ac:dyDescent="0.2">
      <c r="A5" s="13" t="s">
        <v>561</v>
      </c>
      <c r="B5" s="22" t="s">
        <v>562</v>
      </c>
      <c r="C5" s="23"/>
      <c r="D5" s="23"/>
      <c r="E5" s="23"/>
      <c r="F5" s="23"/>
      <c r="G5" s="23"/>
      <c r="H5" s="24"/>
    </row>
    <row r="6" spans="1:8" x14ac:dyDescent="0.2">
      <c r="A6" s="13" t="s">
        <v>563</v>
      </c>
      <c r="B6" s="22" t="s">
        <v>564</v>
      </c>
      <c r="C6" s="23"/>
      <c r="D6" s="23"/>
      <c r="E6" s="23"/>
      <c r="F6" s="23"/>
      <c r="G6" s="23"/>
      <c r="H6" s="24"/>
    </row>
    <row r="7" spans="1:8" x14ac:dyDescent="0.2">
      <c r="A7" s="13" t="s">
        <v>565</v>
      </c>
      <c r="B7" s="22" t="s">
        <v>566</v>
      </c>
      <c r="C7" s="23"/>
      <c r="D7" s="23"/>
      <c r="E7" s="23"/>
      <c r="F7" s="23"/>
      <c r="G7" s="23"/>
      <c r="H7" s="24"/>
    </row>
    <row r="8" spans="1:8" x14ac:dyDescent="0.2">
      <c r="A8" s="13" t="s">
        <v>567</v>
      </c>
      <c r="B8" s="22" t="s">
        <v>568</v>
      </c>
      <c r="C8" s="23"/>
      <c r="D8" s="23"/>
      <c r="E8" s="23"/>
      <c r="F8" s="23"/>
      <c r="G8" s="23"/>
      <c r="H8" s="24"/>
    </row>
    <row r="9" spans="1:8" x14ac:dyDescent="0.2">
      <c r="A9" s="13" t="s">
        <v>569</v>
      </c>
      <c r="B9" s="22" t="s">
        <v>570</v>
      </c>
      <c r="C9" s="23"/>
      <c r="D9" s="23"/>
      <c r="E9" s="23"/>
      <c r="F9" s="23"/>
      <c r="G9" s="23"/>
      <c r="H9" s="24"/>
    </row>
    <row r="10" spans="1:8" x14ac:dyDescent="0.2">
      <c r="A10" s="13" t="s">
        <v>571</v>
      </c>
      <c r="B10" s="22" t="s">
        <v>572</v>
      </c>
      <c r="C10" s="23"/>
      <c r="D10" s="23"/>
      <c r="E10" s="23"/>
      <c r="F10" s="23"/>
      <c r="G10" s="23"/>
      <c r="H10" s="24"/>
    </row>
    <row r="12" spans="1:8" x14ac:dyDescent="0.2">
      <c r="A12" s="16" t="s">
        <v>573</v>
      </c>
      <c r="B12" s="25" t="s">
        <v>574</v>
      </c>
      <c r="C12" s="18"/>
      <c r="D12" s="18"/>
      <c r="E12" s="18"/>
      <c r="F12" s="18"/>
      <c r="G12" s="18"/>
      <c r="H12" s="18"/>
    </row>
    <row r="13" spans="1:8" x14ac:dyDescent="0.2">
      <c r="B13" s="18"/>
      <c r="C13" s="18"/>
      <c r="D13" s="18"/>
      <c r="E13" s="18"/>
      <c r="F13" s="18"/>
      <c r="G13" s="18"/>
      <c r="H13" s="18"/>
    </row>
    <row r="14" spans="1:8" x14ac:dyDescent="0.2">
      <c r="B14" s="18"/>
      <c r="C14" s="18"/>
      <c r="D14" s="18"/>
      <c r="E14" s="18"/>
      <c r="F14" s="18"/>
      <c r="G14" s="18"/>
      <c r="H14" s="18"/>
    </row>
    <row r="16" spans="1:8" x14ac:dyDescent="0.2">
      <c r="A16" t="s">
        <v>575</v>
      </c>
      <c r="B16" s="17" t="s">
        <v>576</v>
      </c>
      <c r="C16" s="18"/>
      <c r="D16" s="18"/>
      <c r="E16" s="18"/>
      <c r="F16" s="18"/>
      <c r="G16" s="18"/>
      <c r="H16" s="18"/>
    </row>
    <row r="17" spans="2:8" x14ac:dyDescent="0.2">
      <c r="B17" s="18"/>
      <c r="C17" s="18"/>
      <c r="D17" s="18"/>
      <c r="E17" s="18"/>
      <c r="F17" s="18"/>
      <c r="G17" s="18"/>
      <c r="H17" s="18"/>
    </row>
  </sheetData>
  <mergeCells count="11">
    <mergeCell ref="A1:H1"/>
    <mergeCell ref="B10:H10"/>
    <mergeCell ref="B3:H3"/>
    <mergeCell ref="B5:H5"/>
    <mergeCell ref="B16:H17"/>
    <mergeCell ref="B8:H8"/>
    <mergeCell ref="B9:H9"/>
    <mergeCell ref="B4:H4"/>
    <mergeCell ref="B6:H6"/>
    <mergeCell ref="B12:H14"/>
    <mergeCell ref="B7:H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Payroll Flow</vt:lpstr>
      <vt:lpstr>Labour Code Compliance</vt:lpstr>
      <vt:lpstr>Payroll Logic</vt:lpstr>
      <vt:lpstr>Rule Master</vt:lpstr>
      <vt:lpstr>Attendance Input</vt:lpstr>
      <vt:lpstr>Worker Master</vt:lpstr>
      <vt:lpstr>Component Matrix</vt:lpstr>
      <vt:lpstr>Statutory Calculations</vt:lpstr>
      <vt:lpstr>Rules Explained</vt:lpstr>
      <vt:lpstr>Payroll Register</vt:lpstr>
      <vt:lpstr>Approval Matrix</vt:lpstr>
      <vt:lpstr>Exception Rules</vt:lpstr>
      <vt:lpstr>Payroll Dashboard</vt:lpstr>
      <vt:lpstr>Data &amp; API Mapping</vt:lpstr>
      <vt:lpstr>Implementation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Shankar Kumar</cp:lastModifiedBy>
  <dcterms:created xsi:type="dcterms:W3CDTF">2026-09-18T17:39:01Z</dcterms:created>
  <dcterms:modified xsi:type="dcterms:W3CDTF">2026-09-30T13:09:18Z</dcterms:modified>
</cp:coreProperties>
</file>