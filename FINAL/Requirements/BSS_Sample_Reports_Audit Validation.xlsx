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talentcompliance-my.sharepoint.com/personal/shipra_talentcompliance_in/Documents/BSS Development/"/>
    </mc:Choice>
  </mc:AlternateContent>
  <xr:revisionPtr revIDLastSave="4" documentId="8_{4B6E7980-902A-3B40-A751-26CCBB913A9C}" xr6:coauthVersionLast="47" xr6:coauthVersionMax="47" xr10:uidLastSave="{F434CF88-F1F5-4BB6-AF9F-3CAD4AEE9D49}"/>
  <bookViews>
    <workbookView xWindow="-108" yWindow="-108" windowWidth="23256" windowHeight="12456" firstSheet="1" activeTab="2" xr2:uid="{00000000-000D-0000-FFFF-FFFF00000000}"/>
  </bookViews>
  <sheets>
    <sheet name="Sample Compliance Officer" sheetId="1" r:id="rId1"/>
    <sheet name="Sample Management Board" sheetId="2" r:id="rId2"/>
    <sheet name="Verification Framework" sheetId="4" r:id="rId3"/>
    <sheet name="Classification" sheetId="5" r:id="rId4"/>
    <sheet name="Report Mappinhg" sheetId="7" r:id="rId5"/>
    <sheet name="Report Data" sheetId="8" r:id="rId6"/>
    <sheet name="Results Engine" sheetId="6" r:id="rId7"/>
    <sheet name="Sample Auditor Report" sheetId="3"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7" i="8" l="1"/>
  <c r="M27" i="8"/>
  <c r="L27" i="8"/>
  <c r="K27" i="8"/>
  <c r="N26" i="8"/>
  <c r="M26" i="8"/>
  <c r="L26" i="8"/>
  <c r="K26" i="8"/>
  <c r="N25" i="8"/>
  <c r="M25" i="8"/>
  <c r="L25" i="8"/>
  <c r="K25" i="8"/>
  <c r="N24" i="8"/>
  <c r="M24" i="8"/>
  <c r="L24" i="8"/>
  <c r="K24" i="8"/>
  <c r="N23" i="8"/>
  <c r="M23" i="8"/>
  <c r="L23" i="8"/>
  <c r="K23" i="8"/>
  <c r="N22" i="8"/>
  <c r="M22" i="8"/>
  <c r="L22" i="8"/>
  <c r="K22" i="8"/>
  <c r="N21" i="8"/>
  <c r="M21" i="8"/>
  <c r="L21" i="8"/>
  <c r="K21" i="8"/>
  <c r="N20" i="8"/>
  <c r="M20" i="8"/>
  <c r="L20" i="8"/>
  <c r="K20" i="8"/>
  <c r="N19" i="8"/>
  <c r="M19" i="8"/>
  <c r="L19" i="8"/>
  <c r="K19" i="8"/>
  <c r="N18" i="8"/>
  <c r="M18" i="8"/>
  <c r="L18" i="8"/>
  <c r="K18" i="8"/>
  <c r="N17" i="8"/>
  <c r="M17" i="8"/>
  <c r="L17" i="8"/>
  <c r="K17" i="8"/>
  <c r="N16" i="8"/>
  <c r="M16" i="8"/>
  <c r="L16" i="8"/>
  <c r="K16" i="8"/>
  <c r="N15" i="8"/>
  <c r="M15" i="8"/>
  <c r="L15" i="8"/>
  <c r="K15" i="8"/>
  <c r="N14" i="8"/>
  <c r="M14" i="8"/>
  <c r="L14" i="8"/>
  <c r="K14" i="8"/>
  <c r="N13" i="8"/>
  <c r="M13" i="8"/>
  <c r="L13" i="8"/>
  <c r="K13" i="8"/>
  <c r="N12" i="8"/>
  <c r="M12" i="8"/>
  <c r="L12" i="8"/>
  <c r="K12" i="8"/>
  <c r="N11" i="8"/>
  <c r="M11" i="8"/>
  <c r="L11" i="8"/>
  <c r="K11" i="8"/>
  <c r="N10" i="8"/>
  <c r="M10" i="8"/>
  <c r="L10" i="8"/>
  <c r="K10" i="8"/>
  <c r="N9" i="8"/>
  <c r="M9" i="8"/>
  <c r="L9" i="8"/>
  <c r="K9" i="8"/>
  <c r="N8" i="8"/>
  <c r="M8" i="8"/>
  <c r="L8" i="8"/>
  <c r="K8" i="8"/>
  <c r="N7" i="8"/>
  <c r="M7" i="8"/>
  <c r="L7" i="8"/>
  <c r="K7" i="8"/>
  <c r="N6" i="8"/>
  <c r="M6" i="8"/>
  <c r="L6" i="8"/>
  <c r="K6" i="8"/>
  <c r="N5" i="8"/>
  <c r="M5" i="8"/>
  <c r="L5" i="8"/>
  <c r="K5" i="8"/>
</calcChain>
</file>

<file path=xl/sharedStrings.xml><?xml version="1.0" encoding="utf-8"?>
<sst xmlns="http://schemas.openxmlformats.org/spreadsheetml/2006/main" count="1902" uniqueCount="1196">
  <si>
    <t>BHARAT SHRAM SETU</t>
  </si>
  <si>
    <t>COMPLIANCE OFFICER REPORT | Operational Compliance &amp; Exception Management | Sample Period: Apr–Sep 2026</t>
  </si>
  <si>
    <t>REPORT HEADER</t>
  </si>
  <si>
    <t>Parameter</t>
  </si>
  <si>
    <t>Value</t>
  </si>
  <si>
    <t>Report ID</t>
  </si>
  <si>
    <t>Version</t>
  </si>
  <si>
    <t>Employer</t>
  </si>
  <si>
    <t>ABC Infrastructure Ltd.</t>
  </si>
  <si>
    <t>Contractor</t>
  </si>
  <si>
    <t>XYZ Workforce Services Pvt. Ltd.</t>
  </si>
  <si>
    <t>Site</t>
  </si>
  <si>
    <t>Project Alpha – Delhi</t>
  </si>
  <si>
    <t>Audit Period</t>
  </si>
  <si>
    <t>01-Apr-2026 to 30-Sep-2026</t>
  </si>
  <si>
    <t>Prepared By</t>
  </si>
  <si>
    <t>BSS Compliance Engine</t>
  </si>
  <si>
    <t>RPT-CO-2026-001</t>
  </si>
  <si>
    <t>v1.0</t>
  </si>
  <si>
    <t>EXECUTIVE COMPLIANCE DASHBOARD</t>
  </si>
  <si>
    <t>Overall Compliance</t>
  </si>
  <si>
    <t>Open Critical</t>
  </si>
  <si>
    <t>Open High</t>
  </si>
  <si>
    <t>Evidence Ready</t>
  </si>
  <si>
    <t>92.5%</t>
  </si>
  <si>
    <t>2</t>
  </si>
  <si>
    <t>11</t>
  </si>
  <si>
    <t>96%</t>
  </si>
  <si>
    <t>OPERATIONAL COMPLIANCE STATUS</t>
  </si>
  <si>
    <t>Area</t>
  </si>
  <si>
    <t>Applicable</t>
  </si>
  <si>
    <t>Passed</t>
  </si>
  <si>
    <t>Failed</t>
  </si>
  <si>
    <t>N/A</t>
  </si>
  <si>
    <t>Compliance %</t>
  </si>
  <si>
    <t>Open Exceptions</t>
  </si>
  <si>
    <t>Overdue CAPA</t>
  </si>
  <si>
    <t>Owner</t>
  </si>
  <si>
    <t>Next Action</t>
  </si>
  <si>
    <t>Evidence</t>
  </si>
  <si>
    <t>Control Trace</t>
  </si>
  <si>
    <t>Contractor KYC &amp; Agreement</t>
  </si>
  <si>
    <t>100%</t>
  </si>
  <si>
    <t>0</t>
  </si>
  <si>
    <t>Maintain records</t>
  </si>
  <si>
    <t>KYC/Evidence IDs</t>
  </si>
  <si>
    <t>CTR-01..05</t>
  </si>
  <si>
    <t>Licences &amp; Registrations</t>
  </si>
  <si>
    <t>90%</t>
  </si>
  <si>
    <t>1</t>
  </si>
  <si>
    <t>Compliance</t>
  </si>
  <si>
    <t>Renew licence</t>
  </si>
  <si>
    <t>Licence IDs</t>
  </si>
  <si>
    <t>LIC-01..04</t>
  </si>
  <si>
    <t>Worker Governance</t>
  </si>
  <si>
    <t>91.7%</t>
  </si>
  <si>
    <t>HR/Contractor</t>
  </si>
  <si>
    <t>Verify worker</t>
  </si>
  <si>
    <t>Worker IDs</t>
  </si>
  <si>
    <t>WRK-01..06</t>
  </si>
  <si>
    <t>Gate Pass &amp; Access</t>
  </si>
  <si>
    <t>87.5%</t>
  </si>
  <si>
    <t>Site Admin</t>
  </si>
  <si>
    <t>Correct invalid pass</t>
  </si>
  <si>
    <t>Gate/Access logs</t>
  </si>
  <si>
    <t>SITE-01..04</t>
  </si>
  <si>
    <t>Attendance</t>
  </si>
  <si>
    <t>3</t>
  </si>
  <si>
    <t>Operations</t>
  </si>
  <si>
    <t>Review anomalies</t>
  </si>
  <si>
    <t>Attendance IDs</t>
  </si>
  <si>
    <t>ATT-01..04</t>
  </si>
  <si>
    <t>Wages &amp; Payroll</t>
  </si>
  <si>
    <t>Payroll</t>
  </si>
  <si>
    <t>Continue monitoring</t>
  </si>
  <si>
    <t>Payroll IDs</t>
  </si>
  <si>
    <t>WAG-01..06</t>
  </si>
  <si>
    <t>PF / ESIC</t>
  </si>
  <si>
    <t>Reconcile contributions</t>
  </si>
  <si>
    <t>ECR/Returns</t>
  </si>
  <si>
    <t>SOC-01..06</t>
  </si>
  <si>
    <t>Documents &amp; Returns</t>
  </si>
  <si>
    <t>92.9%</t>
  </si>
  <si>
    <t>Upload missing evidence</t>
  </si>
  <si>
    <t>Doc/Ack IDs</t>
  </si>
  <si>
    <t>DOC/RET</t>
  </si>
  <si>
    <t>Safety &amp; Welfare</t>
  </si>
  <si>
    <t>HSE</t>
  </si>
  <si>
    <t>Safety IDs</t>
  </si>
  <si>
    <t>SAF-01..05</t>
  </si>
  <si>
    <t>Reconciliations</t>
  </si>
  <si>
    <t>Monitor</t>
  </si>
  <si>
    <t>Recon IDs</t>
  </si>
  <si>
    <t>REC-01..06</t>
  </si>
  <si>
    <t>LICENCE / DOCUMENT EXPIRY MONITOR</t>
  </si>
  <si>
    <t>Item</t>
  </si>
  <si>
    <t>Contractor/Site</t>
  </si>
  <si>
    <t>Document No.</t>
  </si>
  <si>
    <t>Expiry Date</t>
  </si>
  <si>
    <t>Days Remaining</t>
  </si>
  <si>
    <t>Status</t>
  </si>
  <si>
    <t>Risk</t>
  </si>
  <si>
    <t>Action Due</t>
  </si>
  <si>
    <t>Evidence ID</t>
  </si>
  <si>
    <t>Control</t>
  </si>
  <si>
    <t>Remarks</t>
  </si>
  <si>
    <t>Contract Labour Licence</t>
  </si>
  <si>
    <t>XYZ / Project Alpha</t>
  </si>
  <si>
    <t>CL-DEL-2026-001</t>
  </si>
  <si>
    <t>15-Oct-2026</t>
  </si>
  <si>
    <t>Expiring</t>
  </si>
  <si>
    <t>High</t>
  </si>
  <si>
    <t>30-Sep-2026</t>
  </si>
  <si>
    <t>EVD-1021</t>
  </si>
  <si>
    <t>LIC-03</t>
  </si>
  <si>
    <t>Renewal initiated</t>
  </si>
  <si>
    <t>Insurance / Workmen Cover</t>
  </si>
  <si>
    <t>INS-4458</t>
  </si>
  <si>
    <t>10-Dec-2026</t>
  </si>
  <si>
    <t>Valid</t>
  </si>
  <si>
    <t>Medium</t>
  </si>
  <si>
    <t>15-Nov-2026</t>
  </si>
  <si>
    <t>EVD-1022</t>
  </si>
  <si>
    <t>LIC-01</t>
  </si>
  <si>
    <t>PF Registration Evidence</t>
  </si>
  <si>
    <t>XYZ</t>
  </si>
  <si>
    <t>PF-REG-7788</t>
  </si>
  <si>
    <t>Low</t>
  </si>
  <si>
    <t>EVD-1023</t>
  </si>
  <si>
    <t>SOC-01</t>
  </si>
  <si>
    <t>Verified</t>
  </si>
  <si>
    <t>OPEN EXCEPTIONS &amp; CAPA</t>
  </si>
  <si>
    <t>Exception ID</t>
  </si>
  <si>
    <t>Observation</t>
  </si>
  <si>
    <t>Impact</t>
  </si>
  <si>
    <t>Root Cause</t>
  </si>
  <si>
    <t>Due Date</t>
  </si>
  <si>
    <t>Closure Evidence</t>
  </si>
  <si>
    <t>Age</t>
  </si>
  <si>
    <t>Escalation</t>
  </si>
  <si>
    <t>EXC-0001</t>
  </si>
  <si>
    <t>Licence nearing expiry</t>
  </si>
  <si>
    <t>Deployment continuity risk</t>
  </si>
  <si>
    <t>Renewal pending</t>
  </si>
  <si>
    <t>In Progress</t>
  </si>
  <si>
    <t>12 days</t>
  </si>
  <si>
    <t>Compliance Head</t>
  </si>
  <si>
    <t>EXC-0002</t>
  </si>
  <si>
    <t>SITE-03</t>
  </si>
  <si>
    <t>Attendance recorded against expired gate pass</t>
  </si>
  <si>
    <t>Critical</t>
  </si>
  <si>
    <t>Access-control integrity</t>
  </si>
  <si>
    <t>Pass revocation not synced</t>
  </si>
  <si>
    <t>20-Sep-2026</t>
  </si>
  <si>
    <t>Open</t>
  </si>
  <si>
    <t>7 days</t>
  </si>
  <si>
    <t>CEO/Operations</t>
  </si>
  <si>
    <t>EXC-0003</t>
  </si>
  <si>
    <t>SOC-03</t>
  </si>
  <si>
    <t>PF contribution variance for sampled workers</t>
  </si>
  <si>
    <t>Statutory reconciliation gap</t>
  </si>
  <si>
    <t>Data mismatch</t>
  </si>
  <si>
    <t>25-Sep-2026</t>
  </si>
  <si>
    <t>9 days</t>
  </si>
  <si>
    <t>Finance/Compliance</t>
  </si>
  <si>
    <t>AUDIT PACK READINESS</t>
  </si>
  <si>
    <t>Pack Section</t>
  </si>
  <si>
    <t>Required</t>
  </si>
  <si>
    <t>Available</t>
  </si>
  <si>
    <t>Evidence IDs</t>
  </si>
  <si>
    <t>Last Updated</t>
  </si>
  <si>
    <t>Exception</t>
  </si>
  <si>
    <t>Drill-down</t>
  </si>
  <si>
    <t>Contractor KYC</t>
  </si>
  <si>
    <t>Ready</t>
  </si>
  <si>
    <t>EVD-1001..1008</t>
  </si>
  <si>
    <t>CTR</t>
  </si>
  <si>
    <t>Complete</t>
  </si>
  <si>
    <t>Worker Master</t>
  </si>
  <si>
    <t>Attention</t>
  </si>
  <si>
    <t>EVD-1010..1021</t>
  </si>
  <si>
    <t>HR</t>
  </si>
  <si>
    <t>EXC-0004</t>
  </si>
  <si>
    <t>WRK</t>
  </si>
  <si>
    <t>Worker</t>
  </si>
  <si>
    <t>1 pending verification</t>
  </si>
  <si>
    <t>EVD-1030..1041</t>
  </si>
  <si>
    <t>WAG</t>
  </si>
  <si>
    <t>PF/ESIC</t>
  </si>
  <si>
    <t>EVD-1045..1054</t>
  </si>
  <si>
    <t>SOC</t>
  </si>
  <si>
    <t>Contribution</t>
  </si>
  <si>
    <t>1 variance</t>
  </si>
  <si>
    <t>Audit Trail</t>
  </si>
  <si>
    <t>AUD-2001..2010</t>
  </si>
  <si>
    <t>IT</t>
  </si>
  <si>
    <t>AUD</t>
  </si>
  <si>
    <t>Event</t>
  </si>
  <si>
    <t>COMPLIANCE OFFICER ACTION SUMMARY</t>
  </si>
  <si>
    <t>Priority</t>
  </si>
  <si>
    <t>Action</t>
  </si>
  <si>
    <t>Linked Exception</t>
  </si>
  <si>
    <t>Evidence Required</t>
  </si>
  <si>
    <t>Closure Date</t>
  </si>
  <si>
    <t>Approver</t>
  </si>
  <si>
    <t>Comments</t>
  </si>
  <si>
    <t>Resolve gate-pass/attendance mismatch</t>
  </si>
  <si>
    <t>Gate pass + access log</t>
  </si>
  <si>
    <t>Operations Head</t>
  </si>
  <si>
    <t>Complete PF reconciliation</t>
  </si>
  <si>
    <t>ECR/challan + reconciliation</t>
  </si>
  <si>
    <t>Finance Head</t>
  </si>
  <si>
    <t>Renew contractor licence</t>
  </si>
  <si>
    <t>Renewed licence</t>
  </si>
  <si>
    <t>CERTIFICATION / REVIEW</t>
  </si>
  <si>
    <t>Prepared by</t>
  </si>
  <si>
    <t>BSS Compliance Officer / System</t>
  </si>
  <si>
    <t>Reviewed by</t>
  </si>
  <si>
    <t>Report Status</t>
  </si>
  <si>
    <t>Operational Monitoring Report</t>
  </si>
  <si>
    <t>Report Version</t>
  </si>
  <si>
    <t>Evidence Cut-off</t>
  </si>
  <si>
    <t>QR Verification</t>
  </si>
  <si>
    <t>BSS-RPT-CO-2026-001</t>
  </si>
  <si>
    <t>MANAGEMENT / BOARD COMPLIANCE REPORT | Executive Governance, Risk &amp; Material Exposure | Sample Period: Q2 FY 2026-27</t>
  </si>
  <si>
    <t>BOARD REPORT HEADER</t>
  </si>
  <si>
    <t>Entity</t>
  </si>
  <si>
    <t>Reporting Period</t>
  </si>
  <si>
    <t>Jul–Sep 2026</t>
  </si>
  <si>
    <t>Coverage</t>
  </si>
  <si>
    <t>42 Contractors / 18 Sites</t>
  </si>
  <si>
    <t>BSS Governance Engine</t>
  </si>
  <si>
    <t>Board Meeting</t>
  </si>
  <si>
    <t>RPT-BOARD-2026-002</t>
  </si>
  <si>
    <t>BOARD-LEVEL COMPLIANCE SCORECARD</t>
  </si>
  <si>
    <t>Compliance Posture</t>
  </si>
  <si>
    <t>Critical Exceptions</t>
  </si>
  <si>
    <t>High Exceptions</t>
  </si>
  <si>
    <t>CAPA Closure</t>
  </si>
  <si>
    <t>78%</t>
  </si>
  <si>
    <t>ENTERPRISE RISK SNAPSHOT</t>
  </si>
  <si>
    <t>Risk Theme</t>
  </si>
  <si>
    <t>Current</t>
  </si>
  <si>
    <t>Prior Quarter</t>
  </si>
  <si>
    <t>Target / Policy</t>
  </si>
  <si>
    <t>Trend</t>
  </si>
  <si>
    <t>Materiality</t>
  </si>
  <si>
    <t>Business Impact</t>
  </si>
  <si>
    <t>Management Response</t>
  </si>
  <si>
    <t>Due</t>
  </si>
  <si>
    <t>Trace</t>
  </si>
  <si>
    <t>Improving</t>
  </si>
  <si>
    <t>Governance exposure</t>
  </si>
  <si>
    <t>Accelerate contractor closure</t>
  </si>
  <si>
    <t>Chief Compliance</t>
  </si>
  <si>
    <t>31-Oct-2026</t>
  </si>
  <si>
    <t>Board Pack</t>
  </si>
  <si>
    <t>KPI-01</t>
  </si>
  <si>
    <t>Operational/control risk</t>
  </si>
  <si>
    <t>Executive escalation</t>
  </si>
  <si>
    <t>COO</t>
  </si>
  <si>
    <t>20-Oct-2026</t>
  </si>
  <si>
    <t>Exception Pack</t>
  </si>
  <si>
    <t>KPI-02</t>
  </si>
  <si>
    <t>Compliance exposure</t>
  </si>
  <si>
    <t>Targeted CAPA review</t>
  </si>
  <si>
    <t>CAPA</t>
  </si>
  <si>
    <t>Evidence Readiness</t>
  </si>
  <si>
    <t>Audit readiness</t>
  </si>
  <si>
    <t>Close remaining evidence gaps</t>
  </si>
  <si>
    <t>10-Oct-2026</t>
  </si>
  <si>
    <t>Evidence Index</t>
  </si>
  <si>
    <t>KPI-06</t>
  </si>
  <si>
    <t>Audit Trail Coverage</t>
  </si>
  <si>
    <t>Stable</t>
  </si>
  <si>
    <t>Traceability</t>
  </si>
  <si>
    <t>CIO</t>
  </si>
  <si>
    <t>Audit Log</t>
  </si>
  <si>
    <t>KPI-12</t>
  </si>
  <si>
    <t>CONTRACTOR / SITE RISK PORTFOLIO</t>
  </si>
  <si>
    <t>Risk Band</t>
  </si>
  <si>
    <t>Contractors</t>
  </si>
  <si>
    <t>Sites</t>
  </si>
  <si>
    <t>Workers</t>
  </si>
  <si>
    <t>Exposure</t>
  </si>
  <si>
    <t>Management Action</t>
  </si>
  <si>
    <t>Executive intervention</t>
  </si>
  <si>
    <t>↓</t>
  </si>
  <si>
    <t>Portfolio Pack</t>
  </si>
  <si>
    <t>CTR-03</t>
  </si>
  <si>
    <t>Monthly remediation</t>
  </si>
  <si>
    <t>Routine monitoring</t>
  </si>
  <si>
    <t>→</t>
  </si>
  <si>
    <t>Standard monitoring</t>
  </si>
  <si>
    <t>COMPLIANCE TREND</t>
  </si>
  <si>
    <t>Period</t>
  </si>
  <si>
    <t>CAPA Closure %</t>
  </si>
  <si>
    <t>Evidence Readiness %</t>
  </si>
  <si>
    <t>PF Match %</t>
  </si>
  <si>
    <t>ESIC Match %</t>
  </si>
  <si>
    <t>Audit Trail %</t>
  </si>
  <si>
    <t>Board Commentary</t>
  </si>
  <si>
    <t>Source</t>
  </si>
  <si>
    <t>Apr-26</t>
  </si>
  <si>
    <t>Baseline</t>
  </si>
  <si>
    <t>BSS BI</t>
  </si>
  <si>
    <t>REP-01</t>
  </si>
  <si>
    <t>May-26</t>
  </si>
  <si>
    <t>Jun-26</t>
  </si>
  <si>
    <t>Jul-26</t>
  </si>
  <si>
    <t>Aug-26</t>
  </si>
  <si>
    <t>Sep-26</t>
  </si>
  <si>
    <t>Positive movement; close critical gaps</t>
  </si>
  <si>
    <t>MATERIAL EXCEPTIONS REQUIRING MANAGEMENT ATTENTION</t>
  </si>
  <si>
    <t>Financial / Operational Exposure</t>
  </si>
  <si>
    <t>Board Decision / Note</t>
  </si>
  <si>
    <t>Potential invalid attendance population</t>
  </si>
  <si>
    <t>Gate pass sync gap</t>
  </si>
  <si>
    <t>Complete integration fix + retrospective check</t>
  </si>
  <si>
    <t>Escalation tracked</t>
  </si>
  <si>
    <t>Evidence Pack</t>
  </si>
  <si>
    <t>EXC-02</t>
  </si>
  <si>
    <t>Statutory reconciliation</t>
  </si>
  <si>
    <t>PF contribution variance</t>
  </si>
  <si>
    <t>Payroll data mismatch</t>
  </si>
  <si>
    <t>Reconcile and validate ECR</t>
  </si>
  <si>
    <t>CFO</t>
  </si>
  <si>
    <t>25-Oct-2026</t>
  </si>
  <si>
    <t>Monitor closure</t>
  </si>
  <si>
    <t>PF Pack</t>
  </si>
  <si>
    <t>Contract continuity</t>
  </si>
  <si>
    <t>Licence renewal dependency</t>
  </si>
  <si>
    <t>Complete renewal before expiry</t>
  </si>
  <si>
    <t>Licence Pack</t>
  </si>
  <si>
    <t>BOARD MANAGEMENT ACTIONS</t>
  </si>
  <si>
    <t>Action ID</t>
  </si>
  <si>
    <t>Decision / Action</t>
  </si>
  <si>
    <t>Executive Owner</t>
  </si>
  <si>
    <t>Linked Risk</t>
  </si>
  <si>
    <t>Success Measure</t>
  </si>
  <si>
    <t>Next Review</t>
  </si>
  <si>
    <t>ACT-001</t>
  </si>
  <si>
    <t>Resolve gate-pass integration issue</t>
  </si>
  <si>
    <t>0 attendance records without valid pass</t>
  </si>
  <si>
    <t>Board next meeting</t>
  </si>
  <si>
    <t>CAPA-01</t>
  </si>
  <si>
    <t>ACT-002</t>
  </si>
  <si>
    <t>Close statutory reconciliation exceptions</t>
  </si>
  <si>
    <t>100% reconciled eligible population</t>
  </si>
  <si>
    <t>ACT-003</t>
  </si>
  <si>
    <t>Reach 100% audit evidence readiness</t>
  </si>
  <si>
    <t>Evidence gaps</t>
  </si>
  <si>
    <t>100% verified evidence</t>
  </si>
  <si>
    <t>Audit Committee</t>
  </si>
  <si>
    <t>PACK-01</t>
  </si>
  <si>
    <t>MANAGEMENT ACKNOWLEDGEMENT</t>
  </si>
  <si>
    <t>Report Prepared</t>
  </si>
  <si>
    <t>Management Review</t>
  </si>
  <si>
    <t>CEO/CFO/COO</t>
  </si>
  <si>
    <t>Board/Audit Committee</t>
  </si>
  <si>
    <t>For review and action</t>
  </si>
  <si>
    <t>Data Cut-off</t>
  </si>
  <si>
    <t>BSS-RPT-BOARD-2026-002</t>
  </si>
  <si>
    <t>AUDITOR REPORT | Evidence, Control Testing, Reconciliation &amp; Audit Trail | Sample Period: Apr–Sep 2026</t>
  </si>
  <si>
    <t>AUDIT SCOPE &amp; REPORT CONTROL</t>
  </si>
  <si>
    <t>Auditor</t>
  </si>
  <si>
    <t>Independent Auditor</t>
  </si>
  <si>
    <t>RPT-AUD-2026-003</t>
  </si>
  <si>
    <t>Draft for review</t>
  </si>
  <si>
    <t>1. SCOPE, CRITERIA &amp; POPULATION</t>
  </si>
  <si>
    <t>Scope / Criteria</t>
  </si>
  <si>
    <t>Population ID</t>
  </si>
  <si>
    <t>Population Count</t>
  </si>
  <si>
    <t>Applicable Controls</t>
  </si>
  <si>
    <t>Evidence Count</t>
  </si>
  <si>
    <t>Tested</t>
  </si>
  <si>
    <t>Sample Size</t>
  </si>
  <si>
    <t>Sampling Method</t>
  </si>
  <si>
    <t>Result</t>
  </si>
  <si>
    <t>Exception IDs</t>
  </si>
  <si>
    <t>Reviewer</t>
  </si>
  <si>
    <t>All active/deployed workers in audit period</t>
  </si>
  <si>
    <t>POP-WRK-001</t>
  </si>
  <si>
    <t>Yes</t>
  </si>
  <si>
    <t>Risk-based + random</t>
  </si>
  <si>
    <t>Pass</t>
  </si>
  <si>
    <t>EVD-1101..1160</t>
  </si>
  <si>
    <t>Reviewer A</t>
  </si>
  <si>
    <t>Approved attendance transactions</t>
  </si>
  <si>
    <t>POP-ATT-001</t>
  </si>
  <si>
    <t>Stratified by site/exception</t>
  </si>
  <si>
    <t>EVD-1201..1275</t>
  </si>
  <si>
    <t>Monthly payroll population</t>
  </si>
  <si>
    <t>POP-PAY-001</t>
  </si>
  <si>
    <t>Risk-based</t>
  </si>
  <si>
    <t>EVD-1301..1360</t>
  </si>
  <si>
    <t>Eligible statutory population</t>
  </si>
  <si>
    <t>POP-SS-001</t>
  </si>
  <si>
    <t>EVD-1401..1450</t>
  </si>
  <si>
    <t>Documents</t>
  </si>
  <si>
    <t>Applicable contractor/site documents</t>
  </si>
  <si>
    <t>POP-DOC-001</t>
  </si>
  <si>
    <t>Coverage + sample</t>
  </si>
  <si>
    <t>EVD-1501..1530</t>
  </si>
  <si>
    <t>DOC-01..04</t>
  </si>
  <si>
    <t>2. CONTROL TESTING WORKPAPER SUMMARY</t>
  </si>
  <si>
    <t>Control ID</t>
  </si>
  <si>
    <t>Audit Area</t>
  </si>
  <si>
    <t>Control Objective</t>
  </si>
  <si>
    <t>Test Procedure</t>
  </si>
  <si>
    <t>Expected Result</t>
  </si>
  <si>
    <t>Actual Result</t>
  </si>
  <si>
    <t>Recon ID</t>
  </si>
  <si>
    <t>Auditor Note</t>
  </si>
  <si>
    <t>Sign-off</t>
  </si>
  <si>
    <t>CTR-01</t>
  </si>
  <si>
    <t>Identity/legal details complete</t>
  </si>
  <si>
    <t>Inspect master + evidence</t>
  </si>
  <si>
    <t>Complete/verified</t>
  </si>
  <si>
    <t>EVD-1001</t>
  </si>
  <si>
    <t>Maintain</t>
  </si>
  <si>
    <t>No exception</t>
  </si>
  <si>
    <t>A</t>
  </si>
  <si>
    <t>LIC-02</t>
  </si>
  <si>
    <t>Licence</t>
  </si>
  <si>
    <t>Worker ceiling/site scope adequate</t>
  </si>
  <si>
    <t>Compare licence vs deployment</t>
  </si>
  <si>
    <t>Adequate</t>
  </si>
  <si>
    <t>REC-001</t>
  </si>
  <si>
    <t>Access</t>
  </si>
  <si>
    <t>Attendance requires valid pass</t>
  </si>
  <si>
    <t>Match gate pass and attendance</t>
  </si>
  <si>
    <t>All attendance authorised</t>
  </si>
  <si>
    <t>2 records mismatch</t>
  </si>
  <si>
    <t>EVD-1220</t>
  </si>
  <si>
    <t>REC-014</t>
  </si>
  <si>
    <t>Integration fix</t>
  </si>
  <si>
    <t>Retrospective testing required</t>
  </si>
  <si>
    <t>WAG-03</t>
  </si>
  <si>
    <t>Payroll basis agrees to approved attendance</t>
  </si>
  <si>
    <t>Reperform sample</t>
  </si>
  <si>
    <t>Within tolerance</t>
  </si>
  <si>
    <t>EVD-1330</t>
  </si>
  <si>
    <t>REC-022</t>
  </si>
  <si>
    <t>PF</t>
  </si>
  <si>
    <t>PF contributions reconcile</t>
  </si>
  <si>
    <t>Recalculate selected sample</t>
  </si>
  <si>
    <t>Within rule</t>
  </si>
  <si>
    <t>Variance in sample</t>
  </si>
  <si>
    <t>EVD-1420</t>
  </si>
  <si>
    <t>REC-031</t>
  </si>
  <si>
    <t>Reconcile ECR</t>
  </si>
  <si>
    <t>Retest after correction</t>
  </si>
  <si>
    <t>RET-02</t>
  </si>
  <si>
    <t>Returns</t>
  </si>
  <si>
    <t>Submission evidence exists</t>
  </si>
  <si>
    <t>Trace ack to return</t>
  </si>
  <si>
    <t>EVD-1540</t>
  </si>
  <si>
    <t>SAF-03</t>
  </si>
  <si>
    <t>Medical</t>
  </si>
  <si>
    <t>Fitness evidence where applicable</t>
  </si>
  <si>
    <t>Sample worker files</t>
  </si>
  <si>
    <t>EVD-1602</t>
  </si>
  <si>
    <t>AUD-02</t>
  </si>
  <si>
    <t>Material changes traceable</t>
  </si>
  <si>
    <t>Inspect before/after logs</t>
  </si>
  <si>
    <t>AUD-2002</t>
  </si>
  <si>
    <t>3. RECONCILIATION RESULTS</t>
  </si>
  <si>
    <t>Reconciliation</t>
  </si>
  <si>
    <t>Population</t>
  </si>
  <si>
    <t>Matched</t>
  </si>
  <si>
    <t>Unmatched</t>
  </si>
  <si>
    <t>Variance</t>
  </si>
  <si>
    <t>Tolerance</t>
  </si>
  <si>
    <t>Performed By</t>
  </si>
  <si>
    <t>Date</t>
  </si>
  <si>
    <t>Gate Pass ↔ Attendance</t>
  </si>
  <si>
    <t>BSS Engine</t>
  </si>
  <si>
    <t>Attendance ↔ Payroll</t>
  </si>
  <si>
    <t>Payroll ↔ PF</t>
  </si>
  <si>
    <t>REC-032</t>
  </si>
  <si>
    <t>Payroll ↔ ESIC</t>
  </si>
  <si>
    <t>EVD-1430</t>
  </si>
  <si>
    <t>SOC-05</t>
  </si>
  <si>
    <t>REC-040</t>
  </si>
  <si>
    <t>Invoice ↔ Approved Service</t>
  </si>
  <si>
    <t>EXC-0005</t>
  </si>
  <si>
    <t>EVD-1701</t>
  </si>
  <si>
    <t>INV-01/02</t>
  </si>
  <si>
    <t>4. EXCEPTIONS / FINDINGS</t>
  </si>
  <si>
    <t>Finding</t>
  </si>
  <si>
    <t>Criteria / Control</t>
  </si>
  <si>
    <t>Population / Sample</t>
  </si>
  <si>
    <t>Retest</t>
  </si>
  <si>
    <t>Auditor Conclusion</t>
  </si>
  <si>
    <t>2 attendance records linked to invalid/expired gate pass</t>
  </si>
  <si>
    <t>121,450 / 75</t>
  </si>
  <si>
    <t>Sync failure</t>
  </si>
  <si>
    <t>Integration correction + retrospective review</t>
  </si>
  <si>
    <t>CAPA-0002</t>
  </si>
  <si>
    <t>Pending</t>
  </si>
  <si>
    <t>Exception remains open</t>
  </si>
  <si>
    <t>PF contribution variance in selected population</t>
  </si>
  <si>
    <t>3,920 / 50</t>
  </si>
  <si>
    <t>Payroll mapping mismatch</t>
  </si>
  <si>
    <t>Correct payroll/ECR and reconcile</t>
  </si>
  <si>
    <t>CAPA-0003</t>
  </si>
  <si>
    <t>One invoice line not fully supported by service evidence</t>
  </si>
  <si>
    <t>185 / 30</t>
  </si>
  <si>
    <t>Commercial control</t>
  </si>
  <si>
    <t>Missing supporting record</t>
  </si>
  <si>
    <t>Upload service evidence</t>
  </si>
  <si>
    <t>CAPA-0005</t>
  </si>
  <si>
    <t>5. AUDIT TRAIL &amp; EVIDENCE COMPLETENESS</t>
  </si>
  <si>
    <t>Test</t>
  </si>
  <si>
    <t>Exceptions</t>
  </si>
  <si>
    <t>Coverage %</t>
  </si>
  <si>
    <t>Audit Logs</t>
  </si>
  <si>
    <t>Version History</t>
  </si>
  <si>
    <t>Access Logs</t>
  </si>
  <si>
    <t>Material changes</t>
  </si>
  <si>
    <t>EVID-INDEX-01</t>
  </si>
  <si>
    <t>AUD-2001..2060</t>
  </si>
  <si>
    <t>VER-01..60</t>
  </si>
  <si>
    <t>ACC-01..60</t>
  </si>
  <si>
    <t>Approvals</t>
  </si>
  <si>
    <t>EVID-INDEX-02</t>
  </si>
  <si>
    <t>AUD-2101..2160</t>
  </si>
  <si>
    <t>VER-61..120</t>
  </si>
  <si>
    <t>ACC-61..120</t>
  </si>
  <si>
    <t>AUD-03</t>
  </si>
  <si>
    <t>Evidence retrieval</t>
  </si>
  <si>
    <t>98%</t>
  </si>
  <si>
    <t>EVID-INDEX-03</t>
  </si>
  <si>
    <t>AUD-2201..2300</t>
  </si>
  <si>
    <t>VER-121..220</t>
  </si>
  <si>
    <t>ACC-121..220</t>
  </si>
  <si>
    <t>2 evidence records pending verification</t>
  </si>
  <si>
    <t>6. AUDIT PACK INDEX</t>
  </si>
  <si>
    <t>Evidence Range</t>
  </si>
  <si>
    <t>Control IDs</t>
  </si>
  <si>
    <t>Reconciliation IDs</t>
  </si>
  <si>
    <t>Auditor Checked</t>
  </si>
  <si>
    <t>Scope &amp; Criteria</t>
  </si>
  <si>
    <t>EVD-0001</t>
  </si>
  <si>
    <t>SCOPE/APP</t>
  </si>
  <si>
    <t>BSS Reporting</t>
  </si>
  <si>
    <t>v1</t>
  </si>
  <si>
    <t>Contractor Profile</t>
  </si>
  <si>
    <t>EVD-1001..1010</t>
  </si>
  <si>
    <t>BSS Master</t>
  </si>
  <si>
    <t>Worker Population</t>
  </si>
  <si>
    <t>BSS Workforce</t>
  </si>
  <si>
    <t>Attendance/Access</t>
  </si>
  <si>
    <t>SITE/ATT</t>
  </si>
  <si>
    <t>BSS Attendance</t>
  </si>
  <si>
    <t>Payroll/Statutory</t>
  </si>
  <si>
    <t>EVD-1301..1450</t>
  </si>
  <si>
    <t>WAG/SOC</t>
  </si>
  <si>
    <t>REC-022/031</t>
  </si>
  <si>
    <t>BSS Payroll</t>
  </si>
  <si>
    <t>Returns/Documents</t>
  </si>
  <si>
    <t>EVD-1501..1600</t>
  </si>
  <si>
    <t>DOC/RET/SAF</t>
  </si>
  <si>
    <t>BSS Compliance</t>
  </si>
  <si>
    <t>EVD-1701..1750</t>
  </si>
  <si>
    <t>REC</t>
  </si>
  <si>
    <t>REC-014..040</t>
  </si>
  <si>
    <t>EXC-0002/3/5</t>
  </si>
  <si>
    <t>BSS Recon</t>
  </si>
  <si>
    <t>Exceptions/CAPA</t>
  </si>
  <si>
    <t>EVD-1801..1820</t>
  </si>
  <si>
    <t>EXC</t>
  </si>
  <si>
    <t>BSS CAPA</t>
  </si>
  <si>
    <t>AUD-2001..2300</t>
  </si>
  <si>
    <t>BSS Audit Log</t>
  </si>
  <si>
    <t>Conclusion/Sign-off</t>
  </si>
  <si>
    <t>EVD-2401</t>
  </si>
  <si>
    <t>PACK-04</t>
  </si>
  <si>
    <t>Open findings</t>
  </si>
  <si>
    <t>Pending final auditor sign-off</t>
  </si>
  <si>
    <t>7. AUDITOR CONCLUSION / LIMITATIONS</t>
  </si>
  <si>
    <t>Conclusion</t>
  </si>
  <si>
    <t>Based on the defined scope, criteria, populations, tests and evidence referenced in this report, the tested controls and reconciliations are documented above. Open exceptions remain subject to management remediation and auditor retest, where applicable.</t>
  </si>
  <si>
    <t>Limitations</t>
  </si>
  <si>
    <t>This sample format is illustrative. Actual conclusion must be determined by the responsible auditor based on the applicable audit mandate, criteria, evidence, professional requirements and documented work performed.</t>
  </si>
  <si>
    <t>Draft / For Review</t>
  </si>
  <si>
    <t>BSS-RPT-AUD-2026-003</t>
  </si>
  <si>
    <t>BSS — Detailed Verification Procedure + Three Audience Reporting Pack</t>
  </si>
  <si>
    <t>This workbook now contains the detailed verification framework and three audience-specific reports generated from a common 100% population verification data model.</t>
  </si>
  <si>
    <t>Report sheets: Compliance Officer = operational action | Management/Board = governance &amp; material exposure | Auditor = evidence, testing, reconciliation &amp; traceability</t>
  </si>
  <si>
    <t>Sr. No.</t>
  </si>
  <si>
    <t>Verification Parameter</t>
  </si>
  <si>
    <t>Pointers to be Checked</t>
  </si>
  <si>
    <t>Detailed Verification Procedure</t>
  </si>
  <si>
    <t>Primary BSS Data / Evidence</t>
  </si>
  <si>
    <t>100% Verification Method</t>
  </si>
  <si>
    <t>Result / Classification</t>
  </si>
  <si>
    <t>Exception / CAPA Trigger</t>
  </si>
  <si>
    <t>Key Relationships</t>
  </si>
  <si>
    <t>Verification Owner</t>
  </si>
  <si>
    <t>Reviewer / Sign-off</t>
  </si>
  <si>
    <t>Agreement / WO validity</t>
  </si>
  <si>
    <t>Agreement/contract number; PO/WO; effective date; expiry date; scope; worker category; approved manpower; rate; site; authorised parties</t>
  </si>
  <si>
    <t>Extract all active and historical agreements/WOs covering the audit period. Check validity on each record. Match contractor, site, scope, manpower ceiling and rate. Identify deployment after expiry or outside scope.</t>
  </si>
  <si>
    <t>Agreement repository; PO/WO; amendments; approval workflow; contractor-site mapping</t>
  </si>
  <si>
    <t>100% active and audit-period agreements/WOs</t>
  </si>
  <si>
    <t>Agreement/WO valid for the deployment period and actual deployment remains within approved scope/manpower</t>
  </si>
  <si>
    <t>C1/C2/C3/C4/C5/C6/C7/C8</t>
  </si>
  <si>
    <t>Expired agreement, excess manpower, wrong site/scope or unapproved amendment</t>
  </si>
  <si>
    <t>Contractor → Agreement/WO → Site → Worker</t>
  </si>
  <si>
    <t>Contract Compliance</t>
  </si>
  <si>
    <t>Compliance Manager</t>
  </si>
  <si>
    <t>Applicability and validity</t>
  </si>
  <si>
    <t>Licence applicability; registration applicability; labour category; site applicability; worker count threshold; state applicability; activity; validity period</t>
  </si>
  <si>
    <t>Run applicability rules for every contractor/site/worker population. Determine applicable registrations/licences based on location, workforce, activity and period. Compare required vs actual registrations and validity.</t>
  </si>
  <si>
    <t>Compliance rule engine; applicability matrix; licences; registrations; site master</t>
  </si>
  <si>
    <t>100% applicable contractor/site/worker records</t>
  </si>
  <si>
    <t>Every applicable requirement is identified and valid for the relevant period; genuine N/A is documented</t>
  </si>
  <si>
    <t>Missing/expired applicable licence or incorrect N/A determination</t>
  </si>
  <si>
    <t>Employer → Contractor → Site → Applicability Rule → Licence</t>
  </si>
  <si>
    <t>Compliance Officer</t>
  </si>
  <si>
    <t>BSS ID, identity and KYC</t>
  </si>
  <si>
    <t>Unique BSS ID; name; DOB/age; photo; identity document; mobile; address; bank account; UAN/ESIC where applicable; duplicate worker</t>
  </si>
  <si>
    <t>Extract complete worker population. Verify unique BSS ID. Match identity/KYC fields to evidence. Run duplicate detection across identity, mobile, bank and other permitted identifiers. Verify consent and verification status.</t>
  </si>
  <si>
    <t>Worker Master; KYC documents; verification logs; duplicate engine</t>
  </si>
  <si>
    <t>100% workers</t>
  </si>
  <si>
    <t>Each worker has one valid BSS identity with required KYC verified and no unresolved duplicate</t>
  </si>
  <si>
    <t>Identity mismatch, duplicate identity, missing KYC or unverifiable record</t>
  </si>
  <si>
    <t>Worker → Contractor; Worker → KYC; Worker → BSS ID</t>
  </si>
  <si>
    <t>Worker Compliance</t>
  </si>
  <si>
    <t>Appointment / service / exit documents</t>
  </si>
  <si>
    <t>Appointment letter; service agreement; joining date; designation/category; wages; terms; exit date; service certificate</t>
  </si>
  <si>
    <t>Verify document existence for every applicable worker. Compare document details with Worker Master, Wage Master and Contractor records. Check joining/exit dates against attendance and payroll. Identify post-exit activity.</t>
  </si>
  <si>
    <t>Appointment letters; service certificates; exit records; worker master; attendance; payroll</t>
  </si>
  <si>
    <t>100% applicable workers</t>
  </si>
  <si>
    <t>Required document exists, is complete, consistent and valid for the worker's employment period</t>
  </si>
  <si>
    <t>Missing document, material mismatch or attendance/payroll after exit</t>
  </si>
  <si>
    <t>Worker → Employment Document → Attendance → Payroll</t>
  </si>
  <si>
    <t>HR / Contractor Compliance</t>
  </si>
  <si>
    <t>Worker-site authorization</t>
  </si>
  <si>
    <t>Contractor authorization; worker assignment; site; department; work category; deployment dates; approved manpower</t>
  </si>
  <si>
    <t>Create worker-site population. Match every worker to authorised contractor and site. Check authorization start/end dates. Identify attendance at unauthorized site and excess deployment against approved manpower.</t>
  </si>
  <si>
    <t>Worker-site mapping; agreement/WO; deployment order; site master</t>
  </si>
  <si>
    <t>100% worker-site assignments and all deployment transactions</t>
  </si>
  <si>
    <t>Every worker deployed only to an authorised site, contractor and approved category/period</t>
  </si>
  <si>
    <t>Unauthorized site, expired assignment or excess manpower</t>
  </si>
  <si>
    <t>Contractor → Site → Worker Assignment → Attendance</t>
  </si>
  <si>
    <t>Site Compliance</t>
  </si>
  <si>
    <t>Gate pass validity / approval</t>
  </si>
  <si>
    <t>Gate pass ID; worker ID; site; type; issue date; expiry date; approver; status; revocation</t>
  </si>
  <si>
    <t>Verify every gate pass against Worker ID and site. Check approval before activation. Check validity for every attendance date. Verify revoked/expired passes cannot generate attendance. Identify duplicate/overlapping passes.</t>
  </si>
  <si>
    <t>Gate-pass register; approval logs; revocation logs; QR logs</t>
  </si>
  <si>
    <t>100% gate passes and all linked attendance dates</t>
  </si>
  <si>
    <t>Every active gate pass is approved, valid, unique and correctly linked</t>
  </si>
  <si>
    <t>Expired/unapproved/revoked pass used for access or attendance</t>
  </si>
  <si>
    <t>Worker → Gate Pass → Attendance → Site</t>
  </si>
  <si>
    <t>Security / Site Compliance</t>
  </si>
  <si>
    <t>Attendance eligibility</t>
  </si>
  <si>
    <t>Worker status; active assignment; gate pass; shift; site; attendance date/time; authorization</t>
  </si>
  <si>
    <t>For every attendance transaction validate Worker ID → Contractor → Site → active assignment → valid gate pass → permitted date → shift. Flag transactions where any prerequisite fails.</t>
  </si>
  <si>
    <t>Attendance transactions; worker master; site mapping; gate-pass register; shift roster</t>
  </si>
  <si>
    <t>100% attendance transactions</t>
  </si>
  <si>
    <t>Every attendance transaction is attributable to an eligible and authorised worker</t>
  </si>
  <si>
    <t>Attendance against inactive worker, invalid pass, unauthorized site or invalid assignment</t>
  </si>
  <si>
    <t>Worker → Assignment → Gate Pass → Attendance</t>
  </si>
  <si>
    <t>Attendance Compliance</t>
  </si>
  <si>
    <t>Attendance completeness</t>
  </si>
  <si>
    <t>Missing attendance; duplicate punches; shift coverage; working days; weekly off; leave; overtime; IN/OUT</t>
  </si>
  <si>
    <t>Compare expected attendance population with actual attendance. Identify missing IN/OUT, duplicate punches and unexplained gaps. Compare with shift roster, leave and weekly-off calendar. Reconcile attendance days with payroll.</t>
  </si>
  <si>
    <t>Attendance; shift roster; leave; holiday/weekly-off calendar; payroll</t>
  </si>
  <si>
    <t>100% expected attendance days/transactions</t>
  </si>
  <si>
    <t>Attendance population is complete, unique and consistent with authorised shifts/leave and payroll</t>
  </si>
  <si>
    <t>Missing/duplicate attendance, unexplained gap or payroll mismatch</t>
  </si>
  <si>
    <t>Worker → Shift → Attendance → Payroll</t>
  </si>
  <si>
    <t>Attendance edits</t>
  </si>
  <si>
    <t>Original value; revised value; reason; maker; approver; timestamp; device/IP; before/after values</t>
  </si>
  <si>
    <t>Extract 100% edited attendance transactions. Compare before/after values. Verify mandatory reason and maker-checker approval. Check whether edits occurred after payroll finalisation. Analyse repeated edits by user/site/worker.</t>
  </si>
  <si>
    <t>Attendance audit log; edit history; approval log</t>
  </si>
  <si>
    <t>100% edited attendance records</t>
  </si>
  <si>
    <t>Every edit is authorised, reasoned, traceable and made within permitted workflow</t>
  </si>
  <si>
    <t>Unauthorised edit, missing reason/approval or suspicious repeated edit</t>
  </si>
  <si>
    <t>Attendance → Edit Log → Approval → Payroll</t>
  </si>
  <si>
    <t>Internal Control Reviewer</t>
  </si>
  <si>
    <t>Wage master applicability</t>
  </si>
  <si>
    <t>Worker category; skill/category; state; minimum wage; wage rate; effective date; allowances; overtime rate</t>
  </si>
  <si>
    <t>Match every worker to applicable wage category and effective rate. Determine applicable rate by state/category/period. Compare Wage Master with approved contract rate and applicable statutory floor. Flag outdated rates.</t>
  </si>
  <si>
    <t>Wage Master; minimum-wage rule table; agreement/WO; worker category</t>
  </si>
  <si>
    <t>100% workers and all pay periods</t>
  </si>
  <si>
    <t>Applicable wage category and rate are correct and effective for each worker/pay period</t>
  </si>
  <si>
    <t>Incorrect category, outdated rate or rate below applicable requirement</t>
  </si>
  <si>
    <t>Worker → Wage Category → Wage Master → Payroll</t>
  </si>
  <si>
    <t>Payroll / Compliance</t>
  </si>
  <si>
    <t>100% payroll re-performance</t>
  </si>
  <si>
    <t>Attendance; payable days; basic wages; allowances; OT; deductions; statutory contributions; net pay</t>
  </si>
  <si>
    <t>Independently recalculate payroll for every payroll record using approved attendance, Wage Master and applicable rules. Compare BSS-calculated amount with processed payroll at component level. Quantify variances.</t>
  </si>
  <si>
    <t>Payroll register; attendance; Wage Master; deduction master; statutory calculation engine</t>
  </si>
  <si>
    <t>100% payroll records</t>
  </si>
  <si>
    <t>Reperformed payroll equals approved payroll or every variance is explained, approved and evidenced</t>
  </si>
  <si>
    <t>Unexplained or material payroll variance, duplicate payroll or unsupported component</t>
  </si>
  <si>
    <t>Attendance → Wage Master → Payroll → Bank/PF/ESIC</t>
  </si>
  <si>
    <t>Payroll Manager</t>
  </si>
  <si>
    <t>Finance / Compliance Reviewer</t>
  </si>
  <si>
    <t>Bank payment verification</t>
  </si>
  <si>
    <t>Bank account; payment amount; payment date; transaction/UTR; beneficiary; failed/reversed payment</t>
  </si>
  <si>
    <t>Match 100% payroll net pay to bank/payment evidence. Verify beneficiary, amount and payment date. Identify unpaid, partially paid, duplicate, reversed or wrong-beneficiary transactions.</t>
  </si>
  <si>
    <t>Payroll; bank statement/payment file; UTR/reference; payment reconciliation</t>
  </si>
  <si>
    <t>100% payroll payments</t>
  </si>
  <si>
    <t>Every approved net pay is paid to the correct beneficiary for the correct amount and period</t>
  </si>
  <si>
    <t>Unpaid, partial, duplicate, reversed or wrong-beneficiary payment</t>
  </si>
  <si>
    <t>Payroll → Bank Payment → Reconciliation</t>
  </si>
  <si>
    <t>Finance</t>
  </si>
  <si>
    <t>Finance Controller</t>
  </si>
  <si>
    <t>Eligibility and contribution – PF</t>
  </si>
  <si>
    <t>PF applicability; UAN; employee contribution; employer contribution; wage basis; ECR; challan; payment date</t>
  </si>
  <si>
    <t>For every PF-applicable worker verify eligibility → UAN → contribution calculation → payroll deduction → ECR → challan → payment. Recalculate contribution and reconcile all stages.</t>
  </si>
  <si>
    <t>Payroll; UAN; PF contribution register; ECR; challan/payment evidence</t>
  </si>
  <si>
    <t>100% PF-applicable workers and contribution periods</t>
  </si>
  <si>
    <t>Eligibility, deduction, employer contribution, ECR and payment agree</t>
  </si>
  <si>
    <t>Missing UAN, short/missing contribution, ECR mismatch or payment mismatch</t>
  </si>
  <si>
    <t>Worker → Payroll → PF Contribution → ECR → Challan</t>
  </si>
  <si>
    <t>Statutory Compliance</t>
  </si>
  <si>
    <t>Eligibility and contribution – ESIC</t>
  </si>
  <si>
    <t>ESIC applicability; IP number; wage eligibility; employee contribution; employer contribution; contribution period; challan</t>
  </si>
  <si>
    <t>For every applicable worker verify eligibility and IP details. Recalculate contribution and reconcile payroll deduction → contribution register → filing/challan → payment.</t>
  </si>
  <si>
    <t>Payroll; ESIC register; IP details; challan/payment evidence</t>
  </si>
  <si>
    <t>100% ESIC-applicable workers and contribution periods</t>
  </si>
  <si>
    <t>Eligibility, deduction, employer contribution and filing/payment agree</t>
  </si>
  <si>
    <t>Missing IP, short/missing contribution, filing mismatch or payment mismatch</t>
  </si>
  <si>
    <t>Worker → Payroll → ESIC Contribution → Challan</t>
  </si>
  <si>
    <t>Mandatory records</t>
  </si>
  <si>
    <t>Registers; wage records; attendance; employment records; contractor records; notices; returns; acknowledgements; statutory documents</t>
  </si>
  <si>
    <t>Generate mandatory-record checklist based on applicability. Verify existence, completeness, period coverage, approval, version and retention. Test retrieval of records from BSS.</t>
  </si>
  <si>
    <t>Digital registers; returns; acknowledgements; document repository</t>
  </si>
  <si>
    <t>100% applicable mandatory records</t>
  </si>
  <si>
    <t>All required records exist, cover the full period and are retrievable with proper version control</t>
  </si>
  <si>
    <t>Missing, incomplete, outdated, unapproved or unretrievable record</t>
  </si>
  <si>
    <t>Applicability → Mandatory Record → Evidence Repository</t>
  </si>
  <si>
    <t>Medical fitness</t>
  </si>
  <si>
    <t>Medical examination date; fitness status; doctor/authority; validity; worker category; site/activity; re-examination date</t>
  </si>
  <si>
    <t>Match every applicable worker to medical requirements. Verify fitness before deployment and throughout validity. Flag expired/missing/unfit workers who have attendance.</t>
  </si>
  <si>
    <t>Medical records; fitness certificates; worker-site mapping; attendance</t>
  </si>
  <si>
    <t>100% medically applicable workers</t>
  </si>
  <si>
    <t>Required fitness is valid before and during deployment</t>
  </si>
  <si>
    <t>Deployment/attendance without valid required fitness or expired certificate</t>
  </si>
  <si>
    <t>Worker → Medical Fitness → Site Assignment → Attendance</t>
  </si>
  <si>
    <t>Safety / Site Compliance</t>
  </si>
  <si>
    <t>Safety Manager</t>
  </si>
  <si>
    <t>Induction / PPE / training</t>
  </si>
  <si>
    <t>Safety induction; training date/type; competency; PPE issue; PPE acknowledgement; refresher due date</t>
  </si>
  <si>
    <t>Verify mandatory training before deployment. Match training completion with site entry and attendance. Verify PPE issuance and acknowledgement. Check refresher-training due dates.</t>
  </si>
  <si>
    <t>Training register; induction records; PPE register; attendance; gate pass</t>
  </si>
  <si>
    <t>100% applicable workers and required training/PPE events</t>
  </si>
  <si>
    <t>Required induction/training/PPE completed before or within required deployment rules</t>
  </si>
  <si>
    <t>Worker deployed without mandatory training/PPE or overdue refresher</t>
  </si>
  <si>
    <t>Worker → Training/PPE → Gate Pass → Attendance</t>
  </si>
  <si>
    <t>Invoice-service support</t>
  </si>
  <si>
    <t>PO/WO; approved manpower; attendance/service quantity; rate; invoice quantity/value; taxes; approval; payment</t>
  </si>
  <si>
    <t>For 100% invoice lines trace PO/WO → approved service → worker/site attendance → approved quantity → contracted rate → invoice → approval → payment. Identify unsupported or duplicate billing.</t>
  </si>
  <si>
    <t>PO/WO; attendance; service entry; invoice; approval; payment records</t>
  </si>
  <si>
    <t>100% invoice lines</t>
  </si>
  <si>
    <t>Every billed quantity/value is supported by approved service evidence and contractual rate</t>
  </si>
  <si>
    <t>Unsupported quantity/value, duplicate billing or rate mismatch</t>
  </si>
  <si>
    <t>PO/WO → Service/Attendance → Invoice → Approval → Payment</t>
  </si>
  <si>
    <t>Finance / AP</t>
  </si>
  <si>
    <t>Cross-module reconciliation</t>
  </si>
  <si>
    <t>Worker↔contractor↔site↔gate pass↔attendance↔payroll↔PF/ESIC↔invoice</t>
  </si>
  <si>
    <t>Run automated reconciliation rules across all modules. Identify worker/site mismatches, attendance without payroll, payroll without attendance, statutory variance and invoice quantity exceeding approved service.</t>
  </si>
  <si>
    <t>All BSS transactional modules; reconciliation engine</t>
  </si>
  <si>
    <t>100% applicable cross-module relationships and transactions</t>
  </si>
  <si>
    <t>All critical relationships reconcile within defined tolerance or have documented exceptions</t>
  </si>
  <si>
    <t>Any unexplained cross-module mismatch or tolerance breach</t>
  </si>
  <si>
    <t>Worker → Contractor → Site → Gate Pass → Attendance → Payroll → Statutory → Invoice</t>
  </si>
  <si>
    <t>Compliance Analytics</t>
  </si>
  <si>
    <t>Head Compliance / Internal Audit</t>
  </si>
  <si>
    <t>RCA / corrective / preventive action</t>
  </si>
  <si>
    <t>Exception; root cause; immediate correction; corrective action; preventive action; owner; due date; evidence; effectiveness</t>
  </si>
  <si>
    <t>For every C3-C5 exception create CAPA. Verify RCA is evidence-based. Separate immediate correction, corrective action and preventive action. Verify closure evidence and effectiveness. Identify repeat exceptions.</t>
  </si>
  <si>
    <t>Exception register; CAPA; RCA; closure evidence; approval; audit log</t>
  </si>
  <si>
    <t>100% C3-C5 exceptions</t>
  </si>
  <si>
    <t>Every material exception has documented RCA, actions, owner, due date, closure evidence and effectiveness verification</t>
  </si>
  <si>
    <t>Missing RCA/CAPA, overdue action, ineffective closure or repeat exception</t>
  </si>
  <si>
    <t>Exception → RCA → CAPA → Evidence → Effectiveness → Audit Log</t>
  </si>
  <si>
    <t>Compliance Head / Internal Audit</t>
  </si>
  <si>
    <t>Critical transaction traceability</t>
  </si>
  <si>
    <t>Record ID; user; date/time; source; approval; modification; evidence; downstream transaction; audit event</t>
  </si>
  <si>
    <t>Extract all critical transactions. Verify complete digital trail from creation through approval, modification and finalisation. Confirm no unexplained break between transaction and evidence.</t>
  </si>
  <si>
    <t>Audit log; transaction history; approval logs; evidence index</t>
  </si>
  <si>
    <t>100% critical transactions</t>
  </si>
  <si>
    <t>Every critical transaction has complete, immutable/retrievable traceability</t>
  </si>
  <si>
    <t>Missing audit event, broken chain, unexplained modification or unavailable evidence</t>
  </si>
  <si>
    <t>Critical Transaction → Approval → Modification → Evidence → Audit Event</t>
  </si>
  <si>
    <t>Internal Audit / IT Control</t>
  </si>
  <si>
    <t>Audit Reviewer</t>
  </si>
  <si>
    <t>Evidence completeness</t>
  </si>
  <si>
    <t>Evidence ID; control ID; record ID; evidence type; source; period; version; owner; reviewer; integrity/reference; exception linkage</t>
  </si>
  <si>
    <t>For every tested control/record verify evidence exists, is readable, relevant to the period, correctly linked, version-controlled and retrievable. Check evidence-to-conclusion linkage and duplicate evidence.</t>
  </si>
  <si>
    <t>Evidence repository; evidence index; document metadata; audit log</t>
  </si>
  <si>
    <t>100% records/controls requiring evidence</t>
  </si>
  <si>
    <t>Evidence is complete, relevant, attributable, period-correct, retrievable and linked to the conclusion</t>
  </si>
  <si>
    <t>Missing, invalid, stale, unlinked, duplicate or unverifiable evidence</t>
  </si>
  <si>
    <t>Control → Record → Evidence → Reconciliation → Exception/CAPA → Audit Event</t>
  </si>
  <si>
    <t>Compliance / Audit</t>
  </si>
  <si>
    <t>Internal Audit / Auditor</t>
  </si>
  <si>
    <t>Code</t>
  </si>
  <si>
    <t>Classification</t>
  </si>
  <si>
    <t>Definition</t>
  </si>
  <si>
    <t>Treatment</t>
  </si>
  <si>
    <t>Report Treatment</t>
  </si>
  <si>
    <t>C1</t>
  </si>
  <si>
    <t>Compliant</t>
  </si>
  <si>
    <t>Requirement fully satisfied and evidence verified</t>
  </si>
  <si>
    <t>No CAPA; retain evidence</t>
  </si>
  <si>
    <t>Compliant population</t>
  </si>
  <si>
    <t>C2</t>
  </si>
  <si>
    <t>Compliant with Observation</t>
  </si>
  <si>
    <t>Requirement satisfied but process/documentation improvement noted</t>
  </si>
  <si>
    <t>Observation / improvement action where needed</t>
  </si>
  <si>
    <t>Management observation</t>
  </si>
  <si>
    <t>C3</t>
  </si>
  <si>
    <t>Minor Exception</t>
  </si>
  <si>
    <t>Low-impact deviation</t>
  </si>
  <si>
    <t>Corrective action; track to closure</t>
  </si>
  <si>
    <t>Operational exception</t>
  </si>
  <si>
    <t>C4</t>
  </si>
  <si>
    <t>Major Exception</t>
  </si>
  <si>
    <t>Material deviation requiring action</t>
  </si>
  <si>
    <t>RCA + CAPA + closure evidence</t>
  </si>
  <si>
    <t>Material management risk</t>
  </si>
  <si>
    <t>C5</t>
  </si>
  <si>
    <t>Critical Exception</t>
  </si>
  <si>
    <t>Serious regulatory, worker, safety, financial or governance exposure</t>
  </si>
  <si>
    <t>Immediate correction + RCA + CAPA + effectiveness verification</t>
  </si>
  <si>
    <t>Critical management/audit finding</t>
  </si>
  <si>
    <t>C6</t>
  </si>
  <si>
    <t>Pending Verification</t>
  </si>
  <si>
    <t>Required data/evidence unavailable or inconclusive</t>
  </si>
  <si>
    <t>Obtain evidence / resolve data gap</t>
  </si>
  <si>
    <t>Pending verification</t>
  </si>
  <si>
    <t>C7</t>
  </si>
  <si>
    <t>Genuinely not applicable</t>
  </si>
  <si>
    <t>Document applicability rationale</t>
  </si>
  <si>
    <t>Excluded from denominator where appropriate</t>
  </si>
  <si>
    <t>C8</t>
  </si>
  <si>
    <t>Duplicate/Invalid</t>
  </si>
  <si>
    <t>Duplicate or invalid data record</t>
  </si>
  <si>
    <t>Data correction and integrity control</t>
  </si>
  <si>
    <t>Data integrity exception</t>
  </si>
  <si>
    <t>Metric</t>
  </si>
  <si>
    <t>Formula / Logic</t>
  </si>
  <si>
    <t>Purpose</t>
  </si>
  <si>
    <t>Recommended Result Field</t>
  </si>
  <si>
    <t>Verification Coverage %</t>
  </si>
  <si>
    <t>Verified / Applicable × 100</t>
  </si>
  <si>
    <t>Measures whether 100% population was actually checked</t>
  </si>
  <si>
    <t>C1 Rate %</t>
  </si>
  <si>
    <t>C1 / Verified × 100</t>
  </si>
  <si>
    <t>Measures fully compliant verified records</t>
  </si>
  <si>
    <t>C1 %</t>
  </si>
  <si>
    <t>C2 Rate %</t>
  </si>
  <si>
    <t>C2 / Verified × 100</t>
  </si>
  <si>
    <t>Measures compliant records with observations</t>
  </si>
  <si>
    <t>C2 %</t>
  </si>
  <si>
    <t>Exception Rate %</t>
  </si>
  <si>
    <t>(C3+C4+C5+C8) / Verified × 100</t>
  </si>
  <si>
    <t>Measures records with actual exceptions/data integrity issues</t>
  </si>
  <si>
    <t>Exception %</t>
  </si>
  <si>
    <t>Critical Rate %</t>
  </si>
  <si>
    <t>C5 / Verified × 100</t>
  </si>
  <si>
    <t>Measures critical exposure</t>
  </si>
  <si>
    <t>Critical %</t>
  </si>
  <si>
    <t>Pending Rate %</t>
  </si>
  <si>
    <t>C6 / Applicable × 100</t>
  </si>
  <si>
    <t>Measures unresolved verification gaps</t>
  </si>
  <si>
    <t>Pending %</t>
  </si>
  <si>
    <t>Valid linked evidence / Required evidence × 100</t>
  </si>
  <si>
    <t>Measures audit evidence completeness</t>
  </si>
  <si>
    <t>Evidence %</t>
  </si>
  <si>
    <t>Reconciliation Match %</t>
  </si>
  <si>
    <t>Matched / Reconciled × 100</t>
  </si>
  <si>
    <t>Measures cross-module integrity</t>
  </si>
  <si>
    <t>Recon %</t>
  </si>
  <si>
    <t>Effectively closed CAPA / Due CAPA × 100</t>
  </si>
  <si>
    <t>Measures remediation effectiveness</t>
  </si>
  <si>
    <t>CAPA %</t>
  </si>
  <si>
    <t>Repeat Exception Rate %</t>
  </si>
  <si>
    <t>Repeat exceptions / Total exceptions × 100</t>
  </si>
  <si>
    <t>Measures recurrence</t>
  </si>
  <si>
    <t>Repeat %</t>
  </si>
  <si>
    <t>Audit Trail Completeness %</t>
  </si>
  <si>
    <t>Complete critical events / Critical transactions × 100</t>
  </si>
  <si>
    <t>Measures traceability</t>
  </si>
  <si>
    <t>Verification Data</t>
  </si>
  <si>
    <t>Management / Board</t>
  </si>
  <si>
    <t>100% population &amp; coverage</t>
  </si>
  <si>
    <t>Detailed operational coverage by parameter/owner</t>
  </si>
  <si>
    <t>Coverage and enterprise assurance posture</t>
  </si>
  <si>
    <t>Population completeness and testing coverage</t>
  </si>
  <si>
    <t>C1-C8 classification</t>
  </si>
  <si>
    <t>Action queue and exceptions</t>
  </si>
  <si>
    <t>Risk distribution/material exposure</t>
  </si>
  <si>
    <t>Test result classification</t>
  </si>
  <si>
    <t>Evidence gaps and required uploads</t>
  </si>
  <si>
    <t>Evidence readiness KPI</t>
  </si>
  <si>
    <t>Evidence sufficiency and traceability</t>
  </si>
  <si>
    <t>Operational mismatches</t>
  </si>
  <si>
    <t>Material control failures</t>
  </si>
  <si>
    <t>Reconciliation testing</t>
  </si>
  <si>
    <t>Exception/CAPA</t>
  </si>
  <si>
    <t>Owner, action, due date, ageing</t>
  </si>
  <si>
    <t>Material/critical exposure and management action</t>
  </si>
  <si>
    <t>Finding, response, closure/effectiveness</t>
  </si>
  <si>
    <t>Critical transactions</t>
  </si>
  <si>
    <t>Operational hard-stop issues</t>
  </si>
  <si>
    <t>Critical governance exposure</t>
  </si>
  <si>
    <t>End-to-end audit trail</t>
  </si>
  <si>
    <t>Parameter/contractor/site trends</t>
  </si>
  <si>
    <t>Quarterly/annual governance trend</t>
  </si>
  <si>
    <t>Control performance trend</t>
  </si>
  <si>
    <t>BSS — CENTRAL 100% VERIFICATION DATA</t>
  </si>
  <si>
    <t>Illustrative sample dataset feeding all three audience reports | Replace with live BSS data</t>
  </si>
  <si>
    <t>Population Type</t>
  </si>
  <si>
    <t>Verification %</t>
  </si>
  <si>
    <t>Legal identity / KYC</t>
  </si>
  <si>
    <t>Contractor agreements/WOs</t>
  </si>
  <si>
    <t>Applicable licences/registrations</t>
  </si>
  <si>
    <t>Worker-site assignments</t>
  </si>
  <si>
    <t>Gate passes</t>
  </si>
  <si>
    <t>Attendance transactions</t>
  </si>
  <si>
    <t>Expected attendance events</t>
  </si>
  <si>
    <t>Edited attendance transactions</t>
  </si>
  <si>
    <t>Worker-pay-period records</t>
  </si>
  <si>
    <t>Payroll records</t>
  </si>
  <si>
    <t>Payroll payment records</t>
  </si>
  <si>
    <t>PF eligibility and contribution</t>
  </si>
  <si>
    <t>PF-applicable worker-periods</t>
  </si>
  <si>
    <t>ESIC eligibility and contribution</t>
  </si>
  <si>
    <t>ESIC-applicable worker-periods</t>
  </si>
  <si>
    <t>Applicable mandatory records</t>
  </si>
  <si>
    <t>Applicable worker medical records</t>
  </si>
  <si>
    <t>Applicable worker training/PPE events</t>
  </si>
  <si>
    <t>Invoice lines</t>
  </si>
  <si>
    <t>Critical reconciliation records</t>
  </si>
  <si>
    <t>C3-C5 exceptions</t>
  </si>
  <si>
    <t>Evidence records</t>
  </si>
  <si>
    <t>Agreement Copy</t>
  </si>
  <si>
    <t>Signed agreement; validity period; start date; end date; signatures; company seals; scope of work; manpower deployment clause; PF/ESI/Bonus/Gratuity/Labour Law clauses</t>
  </si>
  <si>
    <t>Collect signed agreement copy. Verify validity period, start/end dates, signatures and company seals of both parties. Review scope of work and manpower deployment clause. Check statutory compliance clauses covering PF, ESI, Bonus, Gratuity and Labour Laws. Record observations.</t>
  </si>
  <si>
    <t>Signed Agreement/Contract; Amendments; Approval Records; Contractor Master</t>
  </si>
  <si>
    <t>100% active and audit-period agreements</t>
  </si>
  <si>
    <t>Valid signed agreement exists for the relevant period, with approved scope, manpower terms and applicable compliance clauses</t>
  </si>
  <si>
    <t>Missing agreement, expired agreement, unsigned/unsealed agreement, scope mismatch, missing manpower clause or inadequate compliance clauses</t>
  </si>
  <si>
    <t>Principal Employer → Contractor → Agreement → Site → Scope/Manpower</t>
  </si>
  <si>
    <t>Purchase Order / Work Order</t>
  </si>
  <si>
    <t>PO/WO number; date; validity period; service description; manpower requirement; agreement linkage; authorised signatures</t>
  </si>
  <si>
    <t>Obtain PO/Work Order. Verify PO number and date, validity period and service description. Confirm approved manpower requirement. Match PO validity with agreement validity and verify authorised signatures.</t>
  </si>
  <si>
    <t>PO/WO; Agreement; Approval Workflow; Contractor-Site Mapping</t>
  </si>
  <si>
    <t>100% active and audit-period POs/WOs</t>
  </si>
  <si>
    <t>Valid authorised PO/WO exists and is consistent with the underlying agreement, scope and manpower requirement</t>
  </si>
  <si>
    <t>Missing/expired PO/WO, validity mismatch, wrong service description, excess manpower or unauthorised PO/WO</t>
  </si>
  <si>
    <t>Contractor → Agreement → PO/WO → Site → Manpower</t>
  </si>
  <si>
    <t>Workman Register – Form XIII</t>
  </si>
  <si>
    <t>Form number; employee ID; employee name; Aadhaar; father's name; DOB/age; permanent address; local address; joining date; resignation date; photograph; employee signature/thumb impression; employer signature/stamp</t>
  </si>
  <si>
    <t>Verify Form XIII register number and employee ID. Match employee name, father's name and DOB/age with Aadhaar. Verify permanent and local addresses. Match joining date with appointment letter. Verify resignation date where applicable, photograph, employee signature/thumb impression and employer signature/stamp.</t>
  </si>
  <si>
    <t>Workman Register Form XIII; Aadhaar/Identity Proof; Appointment Letter; Employee Master; Personal File</t>
  </si>
  <si>
    <t>Form XIII is complete, authentic and all worker particulars match supporting records</t>
  </si>
  <si>
    <t>Missing/incomplete register, identity mismatch, incorrect DOJ/DOR, missing photograph/signature or employer authentication</t>
  </si>
  <si>
    <t>Worker → Form XIII → Aadhaar/KYC → Appointment Letter → Personal File</t>
  </si>
  <si>
    <t>BSS ID, Identity and KYC</t>
  </si>
  <si>
    <t>Unique BSS ID; employee ID; name; DOB/age; photo; identity document; mobile; address; bank account; UAN/ESIC where applicable; duplicate worker</t>
  </si>
  <si>
    <t>Extract complete worker population. Verify unique BSS ID. Match identity/KYC fields to evidence. Run duplicate detection across permitted identifiers. Verify consent and verification status.</t>
  </si>
  <si>
    <t>Worker Master; KYC Documents; Verification Logs; Duplicate Engine</t>
  </si>
  <si>
    <t>Worker → Contractor → KYC → BSS ID</t>
  </si>
  <si>
    <t>Employment Card – Form XIV</t>
  </si>
  <si>
    <t>Register/form number; employee name; DOJ; wage rate; designation; employee acknowledgement</t>
  </si>
  <si>
    <t>Verify Employment Card/Form XIV. Match employee name, DOJ and wage rate with appointment letter and Workman Register. Verify designation and employee acknowledgement.</t>
  </si>
  <si>
    <t>Employment Card/Form XIV; Appointment Letter; Workman Register</t>
  </si>
  <si>
    <t>Employment Card is complete and consistent with supporting records</t>
  </si>
  <si>
    <t>Missing card, incorrect DOJ/wage/designation or missing acknowledgement</t>
  </si>
  <si>
    <t>Worker → Employment Card → Appointment Letter → Wage Register</t>
  </si>
  <si>
    <t>Labour License</t>
  </si>
  <si>
    <t>Licence number; validity; maximum manpower; actual manpower; issuing authority; site/location; expiry date</t>
  </si>
  <si>
    <t>Verify Labour License validity and issuing authority. Compare permitted manpower with actual deployment. Confirm site/location coverage and expiry date.</t>
  </si>
  <si>
    <t>Labour License; Contractor Master; Worker Deployment; Site Master</t>
  </si>
  <si>
    <t>100% applicable contractor/site records</t>
  </si>
  <si>
    <t>Valid licence covers relevant site, period and deployed manpower</t>
  </si>
  <si>
    <t>Expired licence, excess manpower, wrong site coverage or missing licence</t>
  </si>
  <si>
    <t>Contractor → Labour License → Site → Worker Deployment</t>
  </si>
  <si>
    <t>Labour License Renewal – Form VII</t>
  </si>
  <si>
    <t>Renewal application; renewal date; acknowledgement; renewed validity; manpower limit</t>
  </si>
  <si>
    <t>Verify renewal application and acknowledgement. Check renewal date and renewed licence validity. Match manpower limit with current deployment.</t>
  </si>
  <si>
    <t>Form VII; Renewal Application; Acknowledgement; Renewed Licence</t>
  </si>
  <si>
    <t>100% renewal cases</t>
  </si>
  <si>
    <t>Renewal is properly supported and licence remains valid for deployment period</t>
  </si>
  <si>
    <t>Renewal not filed, expired licence, unsupported renewal or excess manpower</t>
  </si>
  <si>
    <t>Contractor → Renewal → Labour License → Deployment</t>
  </si>
  <si>
    <t>Child Labour Compliance</t>
  </si>
  <si>
    <t>Age proof; DOB; Aadhaar; worker age; Child Labour Policy</t>
  </si>
  <si>
    <t>Verify age proof for all workers. Cross-check DOB/age. Ensure no employee is below 18 years. Verify Child Labour Policy.</t>
  </si>
  <si>
    <t>Aadhaar/Age Proof; Worker Master; Child Labour Policy</t>
  </si>
  <si>
    <t>All workers meet applicable age requirement and policy is available</t>
  </si>
  <si>
    <t>Worker below 18, missing age proof or missing policy</t>
  </si>
  <si>
    <t>Worker → DOB/Age Proof → Policy</t>
  </si>
  <si>
    <t>In-Out / Attendance Register</t>
  </si>
  <si>
    <t>Date-wise attendance; entry/exit time; employee signatures; monthly summary</t>
  </si>
  <si>
    <t>Verify date-wise attendance and entry/exit timings. Compare attendance with Muster Roll and monthly summary.</t>
  </si>
  <si>
    <t>In-Out Register; Attendance System; Muster Roll</t>
  </si>
  <si>
    <t>100% attendance records</t>
  </si>
  <si>
    <t>Attendance is complete and reconciles with Muster Roll</t>
  </si>
  <si>
    <t>Missing attendance, unexplained gaps or mismatch</t>
  </si>
  <si>
    <t>Worker → Attendance → Muster Roll → Wage Register</t>
  </si>
  <si>
    <t>Muster Roll</t>
  </si>
  <si>
    <t>Register number; employee names; designation; attendance; present/absent/leave; total days; verification signature</t>
  </si>
  <si>
    <t>Verify register number and employee particulars. Check attendance entries, total days worked and monthly verification signature. Compare with Wage Register.</t>
  </si>
  <si>
    <t>Muster Roll; Workman Register; Attendance Register; Wage Register</t>
  </si>
  <si>
    <t>100% monthly Muster Rolls</t>
  </si>
  <si>
    <t>Muster Roll is complete and reconciles with attendance and wage records</t>
  </si>
  <si>
    <t>Missing entries, incorrect attendance or wage mismatch</t>
  </si>
  <si>
    <t>Worker → Muster Roll → Attendance → Wage Register</t>
  </si>
  <si>
    <t>Personal File</t>
  </si>
  <si>
    <t>Resume/CV; application; appointment letter; offer letter; educational certificates; Employment Card; PF Form-2; Gratuity Form-F; Aadhaar; PAN; bank proof; photograph</t>
  </si>
  <si>
    <t>Verify availability of required documents in each personal file. Cross-check all details with Workman Register and master records.</t>
  </si>
  <si>
    <t>Personal File; KYC; Appointment Letter; Nomination Forms; Bank Proof</t>
  </si>
  <si>
    <t>Required documents are available and details are consistent</t>
  </si>
  <si>
    <t>Missing critical document, mismatch or unverifiable evidence</t>
  </si>
  <si>
    <t>Worker → Personal File → KYC → Workman Register</t>
  </si>
  <si>
    <t>Wage Register</t>
  </si>
  <si>
    <t>Employee details; UAN; ESIC; wage rate; attendance days; Basic; HRA; allowances; bonus; gross wages; PF/ESI/PT/LWF/advance deductions; net pay; signatures</t>
  </si>
  <si>
    <t>Verify employee details and statutory identifiers. Match wage rate with applicable minimum wage record. Reconcile attendance with Muster Roll. Verify earnings, deductions and net pay.</t>
  </si>
  <si>
    <t>Wage Register; Worker Master; UAN/ESIC Records; Muster Roll</t>
  </si>
  <si>
    <t>100% workers/months</t>
  </si>
  <si>
    <t>Wage calculation is accurate and reconciles with attendance and statutory records</t>
  </si>
  <si>
    <t>Underpayment, incorrect deduction, wrong wage rate or mismatch</t>
  </si>
  <si>
    <t>Worker → Attendance → Wage Register → PF/ESI → Bank Payment</t>
  </si>
  <si>
    <t>Wage Compliance</t>
  </si>
  <si>
    <t>Payslip</t>
  </si>
  <si>
    <t>Employee name; wage period; earnings; deductions; net salary; acknowledgement</t>
  </si>
  <si>
    <t>Verify payslip for every worker/month. Match earnings and deductions with Wage Register and verify net salary.</t>
  </si>
  <si>
    <t>Payslip; Wage Register; Payroll System</t>
  </si>
  <si>
    <t>100% worker/month records</t>
  </si>
  <si>
    <t>Payslip accurately reflects Wage Register</t>
  </si>
  <si>
    <t>Missing payslip or wage/deduction mismatch</t>
  </si>
  <si>
    <t>Worker → Payslip → Wage Register → Bank Payment</t>
  </si>
  <si>
    <t>Payroll Compliance</t>
  </si>
  <si>
    <t>Bank Transfer Sheet</t>
  </si>
  <si>
    <t>Bank name; transfer date; employee name; amount paid; successful payment status</t>
  </si>
  <si>
    <t>Verify bank transfer details. Match employee-wise amount with Wage Register and confirm successful payment.</t>
  </si>
  <si>
    <t>Bank Transfer Sheet; Bank Statement/Payment Report; Wage Register</t>
  </si>
  <si>
    <t>100% salary payments</t>
  </si>
  <si>
    <t>Correct salary amount is successfully transferred to the worker</t>
  </si>
  <si>
    <t>Failed payment, amount mismatch or wrong beneficiary</t>
  </si>
  <si>
    <t>Worker → Wage Register → Bank Transfer → Bank Account</t>
  </si>
  <si>
    <t>Deduction Register – Damage/Loss</t>
  </si>
  <si>
    <t>Employee details; deduction amount; supporting documents; explanation letter; approval/signature; Wage Register match</t>
  </si>
  <si>
    <t>Verify reason and amount of deduction. Check supporting documents and explanation letter. Verify approval/signature and reconcile with Wage Register.</t>
  </si>
  <si>
    <t>Deduction Register; Supporting Documents; Explanation Letter; Wage Register</t>
  </si>
  <si>
    <t>100% deduction cases</t>
  </si>
  <si>
    <t>Deduction is properly supported, approved and correctly reflected</t>
  </si>
  <si>
    <t>Unsupported/excess deduction, missing approval or mismatch</t>
  </si>
  <si>
    <t>Worker → Deduction Register → Approval → Wage Register</t>
  </si>
  <si>
    <t>Deduction Register – Advance</t>
  </si>
  <si>
    <t>Advance request; approval; amount; recovery schedule; wage deduction; employer signature</t>
  </si>
  <si>
    <t>Verify advance request and approval. Check amount and recovery schedule. Match recovery with Wage Register.</t>
  </si>
  <si>
    <t>Advance Register; Advance Request; Approval; Wage Register</t>
  </si>
  <si>
    <t>100% advance/recovery cases</t>
  </si>
  <si>
    <t>Advance and recovery are properly documented and reconciled</t>
  </si>
  <si>
    <t>Unapproved advance, incorrect recovery or missing schedule</t>
  </si>
  <si>
    <t>Worker → Advance → Approval → Recovery → Wage Register</t>
  </si>
  <si>
    <t>Register of Overtime (OT)</t>
  </si>
  <si>
    <t>OT hours; attendance; OT approval; calculation; payment; acknowledgement</t>
  </si>
  <si>
    <t>Verify OT hours against In-Out Register. Check approval and calculation. Verify payment in Wage Register and employee acknowledgement.</t>
  </si>
  <si>
    <t>OT Register; In-Out Register; Approval; Wage Register</t>
  </si>
  <si>
    <t>100% OT records</t>
  </si>
  <si>
    <t>OT is authorised, correctly calculated and paid</t>
  </si>
  <si>
    <t>Unapproved/unpaid OT or calculation mismatch</t>
  </si>
  <si>
    <t>Worker → Attendance → OT → Approval → Wage Register</t>
  </si>
  <si>
    <t>Register of Fines</t>
  </si>
  <si>
    <t>Employee details; fine amount; reason; approval; notice; wage deduction</t>
  </si>
  <si>
    <t>Verify employee/fine details and reason. Check approval and notice. Match deduction with Wage Register.</t>
  </si>
  <si>
    <t>Fine Register; Notice; Approval; Wage Register</t>
  </si>
  <si>
    <t>100% fine cases</t>
  </si>
  <si>
    <t>Fine is properly documented and correctly deducted</t>
  </si>
  <si>
    <t>Unsupported fine, missing notice/approval or incorrect deduction</t>
  </si>
  <si>
    <t>Worker → Fine → Notice/Approval → Wage Register</t>
  </si>
  <si>
    <t>EPF Registration Certificate</t>
  </si>
  <si>
    <t>PF Code; establishment name; registration status; challan linkage</t>
  </si>
  <si>
    <t>Verify PF registration certificate and code. Match establishment details and active status with challan records.</t>
  </si>
  <si>
    <t>EPF Registration Certificate; PF Portal Record; Challans</t>
  </si>
  <si>
    <t>100% applicable establishments</t>
  </si>
  <si>
    <t>EPF registration is valid and correctly linked</t>
  </si>
  <si>
    <t>Missing/inactive registration or establishment mismatch</t>
  </si>
  <si>
    <t>Contractor → EPF Registration → PF Challan</t>
  </si>
  <si>
    <t>PF Compliance</t>
  </si>
  <si>
    <t>EPF Challan Audit</t>
  </si>
  <si>
    <t>Month; wage period; TRRN; total wages; employee/employer contribution; total deposit; payment date; delay; ECR match</t>
  </si>
  <si>
    <t>Verify monthly PF challan, TRRN, wages and contributions. Check payment date/delay and reconcile with ECR and Wage Register.</t>
  </si>
  <si>
    <t>EPF Challan; TRRN; ECR; Wage Register</t>
  </si>
  <si>
    <t>100% monthly PF challans</t>
  </si>
  <si>
    <t>PF contributions are correctly calculated, deposited and reconciled</t>
  </si>
  <si>
    <t>Delayed/non-payment or contribution mismatch</t>
  </si>
  <si>
    <t>Worker → Wage Register → ECR → PF Challan → TRRN</t>
  </si>
  <si>
    <t>ECR Audit</t>
  </si>
  <si>
    <t>Employee count; UAN; PF/EPS/EDLI wages; employee/employer contribution; totals; challan reconciliation</t>
  </si>
  <si>
    <t>Verify employee count and UANs. Check PF/EPS/EDLI wages and contributions. Match ECR totals with Wage Register and PF Challan.</t>
  </si>
  <si>
    <t>ECR; Wage Register; PF Challan; Worker Master</t>
  </si>
  <si>
    <t>100% monthly ECR</t>
  </si>
  <si>
    <t>ECR details and totals reconcile with wage and challan records</t>
  </si>
  <si>
    <t>UAN mismatch, wage/contribution discrepancy or ECR/challan mismatch</t>
  </si>
  <si>
    <t>Worker → UAN → ECR → Wage Register → PF Challan</t>
  </si>
  <si>
    <t>ESIC Registration</t>
  </si>
  <si>
    <t>ESIC Code; Sub-Code; registration certificate; active status</t>
  </si>
  <si>
    <t>Verify ESIC registration certificate, code and sub-code where applicable. Confirm active status.</t>
  </si>
  <si>
    <t>ESIC Registration Certificate; ESIC Portal Record</t>
  </si>
  <si>
    <t>Valid ESIC registration exists for applicable establishment/site</t>
  </si>
  <si>
    <t>Missing/inactive registration or incorrect code</t>
  </si>
  <si>
    <t>Contractor → ESIC Registration → Site → Worker</t>
  </si>
  <si>
    <t>ESIC Compliance</t>
  </si>
  <si>
    <t>ESIC Challan Audit</t>
  </si>
  <si>
    <t>Contribution month; employee count; wage amount; employee/employer contribution; total deposit; payment date; ECR</t>
  </si>
  <si>
    <t>Match ESIC challan with Wage Register. Verify month, count, wages, contributions, payment date and ECR.</t>
  </si>
  <si>
    <t>ESIC Challan; Wage Register; ESIC ECR; Payment Record</t>
  </si>
  <si>
    <t>100% monthly ESIC challans</t>
  </si>
  <si>
    <t>ESIC contribution is correctly calculated, deposited and reconciled</t>
  </si>
  <si>
    <t>Delayed/non-payment, contribution mismatch or ECR discrepancy</t>
  </si>
  <si>
    <t>Worker → Wage Register → ESIC ECR → ESIC Challan</t>
  </si>
  <si>
    <t>IW Return – International Worker</t>
  </si>
  <si>
    <t>International worker applicability; monthly return; EPFO submission; filing record</t>
  </si>
  <si>
    <t>Identify whether any International Worker is employed. Where applicable, verify monthly return and EPFO portal submission records.</t>
  </si>
  <si>
    <t>Worker Master; Nationality/Employment Records; IW Return; EPFO Record</t>
  </si>
  <si>
    <t>100% applicable IW cases</t>
  </si>
  <si>
    <t>Applicable IW returns are correctly filed with evidence</t>
  </si>
  <si>
    <t>Applicable worker/return not identified or filing evidence unavailable</t>
  </si>
  <si>
    <t>Worker → Nationality → IW Return → EPFO</t>
  </si>
  <si>
    <t>Leave Register</t>
  </si>
  <si>
    <t>Employee details; leave entitlement; leave availed; balance; attendance reconciliation; signatures</t>
  </si>
  <si>
    <t>Verify leave entitlement, leave availed and balance. Reconcile leave with attendance and verify signatures.</t>
  </si>
  <si>
    <t>Leave Register; Attendance Register; Worker Master</t>
  </si>
  <si>
    <t>Leave records are accurate and reconcile with attendance</t>
  </si>
  <si>
    <t>Incorrect balance, unsupported leave or attendance mismatch</t>
  </si>
  <si>
    <t>Worker → Leave Register → Attendance → Wage Register</t>
  </si>
  <si>
    <t>Bonus Register</t>
  </si>
  <si>
    <t>Employee eligibility; bonus calculation; payment; acknowledgement; wage reconciliation</t>
  </si>
  <si>
    <t>Verify eligibility and bonus calculation. Check payment and employee acknowledgement. Match with wage records.</t>
  </si>
  <si>
    <t>Bonus Register; Wage Register; Payment Record</t>
  </si>
  <si>
    <t>100% eligible workers</t>
  </si>
  <si>
    <t>Bonus is correctly calculated, paid and supported</t>
  </si>
  <si>
    <t>Eligible worker omitted, incorrect calculation or unpaid bonus</t>
  </si>
  <si>
    <t>Worker → Eligibility → Bonus → Wage/Payment</t>
  </si>
  <si>
    <t>Holiday List</t>
  </si>
  <si>
    <t>Annual holiday list; statutory holidays; workplace display; management approval</t>
  </si>
  <si>
    <t>Verify annual holiday list and applicable statutory holidays. Confirm workplace display and management approval.</t>
  </si>
  <si>
    <t>Holiday List; Statutory Holiday Record; Display Evidence; Approval</t>
  </si>
  <si>
    <t>100% sites/year</t>
  </si>
  <si>
    <t>Approved holiday list is maintained and displayed</t>
  </si>
  <si>
    <t>Missing statutory holiday, approval or display evidence</t>
  </si>
  <si>
    <t>Site → Holiday List → Approval → Display</t>
  </si>
  <si>
    <t>Employees Compensation Policy</t>
  </si>
  <si>
    <t>Policy copy; validity; insured manpower; coverage amount; site coverage</t>
  </si>
  <si>
    <t>Verify policy validity, insured manpower count, coverage amount and site coverage.</t>
  </si>
  <si>
    <t>Employees Compensation Policy; Insurance Certificate; Worker Deployment; Site Master</t>
  </si>
  <si>
    <t>100% applicable contractors/sites</t>
  </si>
  <si>
    <t>Valid policy covers required manpower and site</t>
  </si>
  <si>
    <t>Expired policy, inadequate coverage or wrong site/manpower</t>
  </si>
  <si>
    <t>Contractor → Insurance Policy → Site → Worker Deployment</t>
  </si>
  <si>
    <t>Labour Welfare Fund (LWF)</t>
  </si>
  <si>
    <t>State applicability; contribution calculation; challan; return filing</t>
  </si>
  <si>
    <t>Verify state applicability. Check contribution calculation, challan payment and return filing where applicable.</t>
  </si>
  <si>
    <t>Applicability Matrix; LWF Challan; Return; Wage Register</t>
  </si>
  <si>
    <t>100% applicable states/periods</t>
  </si>
  <si>
    <t>LWF applicability is correctly determined and contributions/returns are compliant</t>
  </si>
  <si>
    <t>Incorrect N/A, contribution discrepancy, non-payment or non-filing</t>
  </si>
  <si>
    <t>State → Applicability → Worker/Wage → LWF Challan → Return</t>
  </si>
  <si>
    <t>Professional Tax (PT)</t>
  </si>
  <si>
    <t>PT registration; deduction calculation; challan; return filing</t>
  </si>
  <si>
    <t>Verify PT registration where applicable. Check deduction calculation, challan payment and return filing.</t>
  </si>
  <si>
    <t>PT Registration; Wage Register; PT Challan; PT Return</t>
  </si>
  <si>
    <t>100% applicable states/workers/periods</t>
  </si>
  <si>
    <t>PT is correctly registered, deducted, deposited and returned</t>
  </si>
  <si>
    <t>Missing registration, incorrect deduction, non-payment or non-filing</t>
  </si>
  <si>
    <t>State → PT Registration → Worker/Wage → Challan → Return</t>
  </si>
  <si>
    <t>POSH Compliance</t>
  </si>
  <si>
    <t>POSH Policy; ICC committee; awareness training; annual return; committee records</t>
  </si>
  <si>
    <t>Verify POSH policy and ICC formation. Check employee awareness/training, annual return and committee records.</t>
  </si>
  <si>
    <t>POSH Policy; ICC Records; Training Records; Annual Return</t>
  </si>
  <si>
    <t>100% applicable sites/records</t>
  </si>
  <si>
    <t>Required POSH policy, committee, awareness and records are maintained</t>
  </si>
  <si>
    <t>Missing policy/ICC, training gap, missing return or records</t>
  </si>
  <si>
    <t>Site → POSH Policy → ICC → Training → Annual Return</t>
  </si>
  <si>
    <t>Equal Remuneration Compliance – Form D</t>
  </si>
  <si>
    <t>Male/female wage comparison; designation-wise wage parity; Form D records</t>
  </si>
  <si>
    <t>Compare male and female wages by designation/work category. Verify Form D records and document discrepancies.</t>
  </si>
  <si>
    <t>Wage Register; Worker Master; Designation Master; Form D</t>
  </si>
  <si>
    <t>100% applicable worker/designation records</t>
  </si>
  <si>
    <t>Wage records and required Form D records are complete and consistent</t>
  </si>
  <si>
    <t>Unexplained wage disparity, missing Form D or incomplete records</t>
  </si>
  <si>
    <t>Worker → Gender → Designation → Wage Register → Form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</si>
</sst>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8"/>
      <color rgb="FFFFFFFF"/>
      <name val="Calibri"/>
      <family val="2"/>
    </font>
    <font>
      <i/>
      <sz val="10"/>
      <name val="Calibri"/>
      <family val="2"/>
    </font>
    <font>
      <b/>
      <sz val="12"/>
      <color rgb="FFFFFFFF"/>
      <name val="Calibri"/>
      <family val="2"/>
    </font>
    <font>
      <b/>
      <sz val="11"/>
      <color rgb="FFFFFFFF"/>
      <name val="Calibri"/>
      <family val="2"/>
    </font>
    <font>
      <b/>
      <sz val="9"/>
      <color rgb="FF1F1F1F"/>
      <name val="Calibri"/>
      <family val="2"/>
    </font>
    <font>
      <b/>
      <sz val="18"/>
      <color rgb="FF17365D"/>
      <name val="Calibri"/>
      <family val="2"/>
    </font>
    <font>
      <b/>
      <sz val="16"/>
      <name val="Calibri"/>
      <family val="2"/>
    </font>
    <font>
      <i/>
      <sz val="11"/>
      <name val="Calibri"/>
      <family val="2"/>
    </font>
    <font>
      <b/>
      <sz val="11"/>
      <color rgb="FF1F4E78"/>
      <name val="Calibri"/>
      <family val="2"/>
    </font>
    <font>
      <b/>
      <sz val="16"/>
      <color rgb="FFFFFFFF"/>
      <name val="Calibri"/>
      <family val="2"/>
    </font>
    <font>
      <b/>
      <sz val="11"/>
      <color theme="1"/>
      <name val="Calibri"/>
      <family val="2"/>
      <scheme val="minor"/>
    </font>
  </fonts>
  <fills count="10">
    <fill>
      <patternFill patternType="none"/>
    </fill>
    <fill>
      <patternFill patternType="gray125"/>
    </fill>
    <fill>
      <patternFill patternType="solid">
        <fgColor rgb="FF17365D"/>
      </patternFill>
    </fill>
    <fill>
      <patternFill patternType="solid">
        <fgColor rgb="FFD9EAF7"/>
      </patternFill>
    </fill>
    <fill>
      <patternFill patternType="solid">
        <fgColor rgb="FF1F4E78"/>
      </patternFill>
    </fill>
    <fill>
      <patternFill patternType="solid">
        <fgColor rgb="FFF3F6F9"/>
      </patternFill>
    </fill>
    <fill>
      <patternFill patternType="solid">
        <fgColor rgb="FFFCE4D6"/>
      </patternFill>
    </fill>
    <fill>
      <patternFill patternType="solid">
        <fgColor rgb="FFFFF2CC"/>
      </patternFill>
    </fill>
    <fill>
      <patternFill patternType="solid">
        <fgColor rgb="FFE2F0D9"/>
      </patternFill>
    </fill>
    <fill>
      <patternFill patternType="solid">
        <fgColor rgb="FFFFFF00"/>
        <bgColor indexed="64"/>
      </patternFill>
    </fill>
  </fills>
  <borders count="6">
    <border>
      <left/>
      <right/>
      <top/>
      <bottom/>
      <diagonal/>
    </border>
    <border>
      <left/>
      <right/>
      <top/>
      <bottom style="thin">
        <color rgb="FFB7B7B7"/>
      </bottom>
      <diagonal/>
    </border>
    <border>
      <left style="thin">
        <color rgb="FFB7C9D6"/>
      </left>
      <right style="thin">
        <color rgb="FFB7C9D6"/>
      </right>
      <top style="thin">
        <color rgb="FFB7C9D6"/>
      </top>
      <bottom style="thin">
        <color rgb="FFB7C9D6"/>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32">
    <xf numFmtId="0" fontId="0" fillId="0" borderId="0" xfId="0"/>
    <xf numFmtId="0" fontId="4" fillId="4" borderId="1" xfId="0" applyFont="1" applyFill="1" applyBorder="1" applyAlignment="1">
      <alignment vertical="center" wrapText="1"/>
    </xf>
    <xf numFmtId="0" fontId="0" fillId="0" borderId="1" xfId="0" applyBorder="1" applyAlignment="1">
      <alignment vertical="top" wrapText="1"/>
    </xf>
    <xf numFmtId="0" fontId="9" fillId="0" borderId="2" xfId="0" applyFont="1" applyBorder="1"/>
    <xf numFmtId="0" fontId="0" fillId="0" borderId="5" xfId="0" applyBorder="1"/>
    <xf numFmtId="0" fontId="0" fillId="9" borderId="5" xfId="0" applyFill="1" applyBorder="1"/>
    <xf numFmtId="0" fontId="4" fillId="4" borderId="2" xfId="0" applyFont="1" applyFill="1" applyBorder="1" applyAlignment="1">
      <alignment horizontal="center" vertical="center" wrapText="1"/>
    </xf>
    <xf numFmtId="0" fontId="4" fillId="9" borderId="2" xfId="0" applyFont="1" applyFill="1" applyBorder="1" applyAlignment="1">
      <alignment horizontal="center" vertical="center" wrapText="1"/>
    </xf>
    <xf numFmtId="0" fontId="0" fillId="0" borderId="2" xfId="0" applyBorder="1" applyAlignment="1">
      <alignment vertical="top" wrapText="1"/>
    </xf>
    <xf numFmtId="0" fontId="0" fillId="9" borderId="2" xfId="0" applyFill="1" applyBorder="1" applyAlignment="1">
      <alignment vertical="top" wrapText="1"/>
    </xf>
    <xf numFmtId="0" fontId="4" fillId="4" borderId="2" xfId="0" applyFont="1" applyFill="1" applyBorder="1" applyAlignment="1">
      <alignment vertical="top" wrapText="1"/>
    </xf>
    <xf numFmtId="10" fontId="0" fillId="0" borderId="2" xfId="0" applyNumberFormat="1" applyBorder="1" applyAlignment="1">
      <alignment vertical="top" wrapText="1"/>
    </xf>
    <xf numFmtId="0" fontId="1" fillId="2" borderId="0" xfId="0" applyFont="1" applyFill="1" applyAlignment="1">
      <alignment vertical="center"/>
    </xf>
    <xf numFmtId="0" fontId="0" fillId="0" borderId="0" xfId="0"/>
    <xf numFmtId="0" fontId="6" fillId="5" borderId="0" xfId="0" applyFont="1" applyFill="1" applyAlignment="1">
      <alignment horizontal="center" vertical="center"/>
    </xf>
    <xf numFmtId="0" fontId="6" fillId="8" borderId="0" xfId="0" applyFont="1" applyFill="1" applyAlignment="1">
      <alignment horizontal="center" vertical="center"/>
    </xf>
    <xf numFmtId="0" fontId="3" fillId="4" borderId="0" xfId="0" applyFont="1" applyFill="1" applyAlignment="1">
      <alignment vertical="center"/>
    </xf>
    <xf numFmtId="0" fontId="5" fillId="5" borderId="0" xfId="0" applyFont="1" applyFill="1" applyAlignment="1">
      <alignment horizontal="center" vertical="center"/>
    </xf>
    <xf numFmtId="0" fontId="5" fillId="7" borderId="0" xfId="0" applyFont="1" applyFill="1" applyAlignment="1">
      <alignment horizontal="center" vertical="center"/>
    </xf>
    <xf numFmtId="0" fontId="5" fillId="6" borderId="0" xfId="0" applyFont="1" applyFill="1" applyAlignment="1">
      <alignment horizontal="center" vertical="center"/>
    </xf>
    <xf numFmtId="0" fontId="5" fillId="8" borderId="0" xfId="0" applyFont="1" applyFill="1" applyAlignment="1">
      <alignment horizontal="center" vertical="center"/>
    </xf>
    <xf numFmtId="0" fontId="2" fillId="3" borderId="0" xfId="0" applyFont="1" applyFill="1" applyAlignment="1">
      <alignment vertical="top" wrapText="1"/>
    </xf>
    <xf numFmtId="0" fontId="6" fillId="6" borderId="0" xfId="0" applyFont="1" applyFill="1" applyAlignment="1">
      <alignment horizontal="center" vertical="center"/>
    </xf>
    <xf numFmtId="0" fontId="6" fillId="7" borderId="0" xfId="0" applyFont="1" applyFill="1" applyAlignment="1">
      <alignment horizontal="center" vertical="center"/>
    </xf>
    <xf numFmtId="0" fontId="7" fillId="0" borderId="2" xfId="0" applyFont="1" applyBorder="1" applyAlignment="1">
      <alignment horizontal="center"/>
    </xf>
    <xf numFmtId="0" fontId="0" fillId="0" borderId="3" xfId="0" applyBorder="1"/>
    <xf numFmtId="0" fontId="0" fillId="0" borderId="4" xfId="0" applyBorder="1"/>
    <xf numFmtId="0" fontId="8" fillId="0" borderId="2" xfId="0" applyFont="1" applyBorder="1" applyAlignment="1">
      <alignment horizontal="center"/>
    </xf>
    <xf numFmtId="0" fontId="10" fillId="4" borderId="2" xfId="0" applyFont="1" applyFill="1" applyBorder="1" applyAlignment="1">
      <alignment horizontal="center"/>
    </xf>
    <xf numFmtId="0" fontId="11" fillId="0" borderId="0" xfId="0" applyFont="1" applyAlignment="1">
      <alignment horizontal="center" vertical="center" wrapText="1"/>
    </xf>
    <xf numFmtId="0" fontId="0" fillId="0" borderId="0" xfId="0" applyAlignment="1">
      <alignment vertical="center" wrapText="1"/>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IN"/>
              <a:t>Compliance Trend</a:t>
            </a:r>
          </a:p>
        </c:rich>
      </c:tx>
      <c:overlay val="1"/>
    </c:title>
    <c:autoTitleDeleted val="0"/>
    <c:plotArea>
      <c:layout/>
      <c:barChart>
        <c:barDir val="col"/>
        <c:grouping val="clustered"/>
        <c:varyColors val="1"/>
        <c:ser>
          <c:idx val="0"/>
          <c:order val="0"/>
          <c:tx>
            <c:strRef>
              <c:f>'Sample Management Board'!$B$30</c:f>
              <c:strCache>
                <c:ptCount val="1"/>
                <c:pt idx="0">
                  <c:v>Compliance %</c:v>
                </c:pt>
              </c:strCache>
            </c:strRef>
          </c:tx>
          <c:spPr>
            <a:ln>
              <a:prstDash val="solid"/>
            </a:ln>
          </c:spPr>
          <c:invertIfNegative val="1"/>
          <c:cat>
            <c:strRef>
              <c:f>'Sample Management Board'!$A$31:$A$36</c:f>
              <c:strCache>
                <c:ptCount val="6"/>
                <c:pt idx="0">
                  <c:v>Apr-26</c:v>
                </c:pt>
                <c:pt idx="1">
                  <c:v>May-26</c:v>
                </c:pt>
                <c:pt idx="2">
                  <c:v>Jun-26</c:v>
                </c:pt>
                <c:pt idx="3">
                  <c:v>Jul-26</c:v>
                </c:pt>
                <c:pt idx="4">
                  <c:v>Aug-26</c:v>
                </c:pt>
                <c:pt idx="5">
                  <c:v>Sep-26</c:v>
                </c:pt>
              </c:strCache>
            </c:strRef>
          </c:cat>
          <c:val>
            <c:numRef>
              <c:f>'Sample Management Board'!$B$31:$B$36</c:f>
              <c:numCache>
                <c:formatCode>General</c:formatCode>
                <c:ptCount val="6"/>
                <c:pt idx="0">
                  <c:v>88.4</c:v>
                </c:pt>
                <c:pt idx="1">
                  <c:v>89.7</c:v>
                </c:pt>
                <c:pt idx="2">
                  <c:v>90.6</c:v>
                </c:pt>
                <c:pt idx="3">
                  <c:v>91.2</c:v>
                </c:pt>
                <c:pt idx="4">
                  <c:v>92</c:v>
                </c:pt>
                <c:pt idx="5">
                  <c:v>92.5</c:v>
                </c:pt>
              </c:numCache>
            </c:numRef>
          </c:val>
          <c:extLst>
            <c:ext xmlns:c16="http://schemas.microsoft.com/office/drawing/2014/chart" uri="{C3380CC4-5D6E-409C-BE32-E72D297353CC}">
              <c16:uniqueId val="{00000000-CAD6-9145-BBA2-477FA603C0F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IN"/>
                  <a:t>Period</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IN"/>
                  <a:t>Compliance %</a:t>
                </a:r>
              </a:p>
            </c:rich>
          </c:tx>
          <c:overlay val="1"/>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13</xdr:col>
      <xdr:colOff>0</xdr:colOff>
      <xdr:row>11</xdr:row>
      <xdr:rowOff>0</xdr:rowOff>
    </xdr:from>
    <xdr:ext cx="4320000" cy="252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8"/>
  <sheetViews>
    <sheetView showGridLines="0" workbookViewId="0">
      <pane ySplit="5" topLeftCell="A6" activePane="bottomLeft" state="frozen"/>
      <selection pane="bottomLeft" activeCell="A51" sqref="A51:A53"/>
    </sheetView>
  </sheetViews>
  <sheetFormatPr defaultColWidth="8.77734375" defaultRowHeight="14.4" x14ac:dyDescent="0.3"/>
  <cols>
    <col min="1" max="6" width="18" customWidth="1"/>
    <col min="7" max="7" width="22" customWidth="1"/>
    <col min="8" max="8" width="24" customWidth="1"/>
    <col min="9" max="9" width="28" customWidth="1"/>
    <col min="10" max="10" width="20" customWidth="1"/>
    <col min="11" max="11" width="22" customWidth="1"/>
    <col min="12" max="12" width="20" customWidth="1"/>
  </cols>
  <sheetData>
    <row r="1" spans="1:12" ht="31.95" customHeight="1" x14ac:dyDescent="0.3">
      <c r="A1" s="12" t="s">
        <v>0</v>
      </c>
      <c r="B1" s="13"/>
      <c r="C1" s="13"/>
      <c r="D1" s="13"/>
      <c r="E1" s="13"/>
      <c r="F1" s="13"/>
      <c r="G1" s="13"/>
      <c r="H1" s="13"/>
      <c r="I1" s="13"/>
      <c r="J1" s="13"/>
      <c r="K1" s="13"/>
      <c r="L1" s="13"/>
    </row>
    <row r="2" spans="1:12" ht="34.950000000000003" customHeight="1" x14ac:dyDescent="0.3">
      <c r="A2" s="21" t="s">
        <v>1</v>
      </c>
      <c r="B2" s="13"/>
      <c r="C2" s="13"/>
      <c r="D2" s="13"/>
      <c r="E2" s="13"/>
      <c r="F2" s="13"/>
      <c r="G2" s="13"/>
      <c r="H2" s="13"/>
      <c r="I2" s="13"/>
      <c r="J2" s="13"/>
      <c r="K2" s="13"/>
      <c r="L2" s="13"/>
    </row>
    <row r="4" spans="1:12" ht="24" customHeight="1" x14ac:dyDescent="0.3">
      <c r="A4" s="16" t="s">
        <v>2</v>
      </c>
      <c r="B4" s="13"/>
      <c r="C4" s="13"/>
      <c r="D4" s="13"/>
      <c r="E4" s="13"/>
      <c r="F4" s="13"/>
      <c r="G4" s="13"/>
      <c r="H4" s="13"/>
      <c r="I4" s="13"/>
      <c r="J4" s="13"/>
      <c r="K4" s="13"/>
      <c r="L4" s="13"/>
    </row>
    <row r="5" spans="1:12" ht="28.05" customHeight="1" x14ac:dyDescent="0.3">
      <c r="A5" s="1" t="s">
        <v>3</v>
      </c>
      <c r="B5" s="1" t="s">
        <v>4</v>
      </c>
      <c r="C5" s="1" t="s">
        <v>3</v>
      </c>
      <c r="D5" s="1" t="s">
        <v>4</v>
      </c>
      <c r="E5" s="1" t="s">
        <v>3</v>
      </c>
      <c r="F5" s="1" t="s">
        <v>4</v>
      </c>
      <c r="G5" s="1" t="s">
        <v>3</v>
      </c>
      <c r="H5" s="1" t="s">
        <v>4</v>
      </c>
      <c r="I5" s="1" t="s">
        <v>3</v>
      </c>
      <c r="J5" s="1" t="s">
        <v>4</v>
      </c>
      <c r="K5" s="1" t="s">
        <v>5</v>
      </c>
      <c r="L5" s="1" t="s">
        <v>6</v>
      </c>
    </row>
    <row r="6" spans="1:12" ht="28.8" x14ac:dyDescent="0.3">
      <c r="A6" s="2" t="s">
        <v>7</v>
      </c>
      <c r="B6" s="2" t="s">
        <v>8</v>
      </c>
      <c r="C6" s="2" t="s">
        <v>9</v>
      </c>
      <c r="D6" s="2" t="s">
        <v>10</v>
      </c>
      <c r="E6" s="2" t="s">
        <v>11</v>
      </c>
      <c r="F6" s="2" t="s">
        <v>12</v>
      </c>
      <c r="G6" s="2" t="s">
        <v>13</v>
      </c>
      <c r="H6" s="2" t="s">
        <v>14</v>
      </c>
      <c r="I6" s="2" t="s">
        <v>15</v>
      </c>
      <c r="J6" s="2" t="s">
        <v>16</v>
      </c>
      <c r="K6" s="2" t="s">
        <v>17</v>
      </c>
      <c r="L6" s="2" t="s">
        <v>18</v>
      </c>
    </row>
    <row r="8" spans="1:12" ht="24" customHeight="1" x14ac:dyDescent="0.3">
      <c r="A8" s="16" t="s">
        <v>19</v>
      </c>
      <c r="B8" s="13"/>
      <c r="C8" s="13"/>
      <c r="D8" s="13"/>
      <c r="E8" s="13"/>
      <c r="F8" s="13"/>
      <c r="G8" s="13"/>
      <c r="H8" s="13"/>
      <c r="I8" s="13"/>
      <c r="J8" s="13"/>
      <c r="K8" s="13"/>
      <c r="L8" s="13"/>
    </row>
    <row r="9" spans="1:12" x14ac:dyDescent="0.3">
      <c r="A9" s="17" t="s">
        <v>20</v>
      </c>
      <c r="B9" s="13"/>
      <c r="D9" s="19" t="s">
        <v>21</v>
      </c>
      <c r="E9" s="13"/>
      <c r="G9" s="18" t="s">
        <v>22</v>
      </c>
      <c r="H9" s="13"/>
      <c r="J9" s="20" t="s">
        <v>23</v>
      </c>
      <c r="K9" s="13"/>
    </row>
    <row r="10" spans="1:12" ht="23.4" x14ac:dyDescent="0.3">
      <c r="A10" s="14" t="s">
        <v>24</v>
      </c>
      <c r="B10" s="13"/>
      <c r="D10" s="22" t="s">
        <v>25</v>
      </c>
      <c r="E10" s="13"/>
      <c r="G10" s="23" t="s">
        <v>26</v>
      </c>
      <c r="H10" s="13"/>
      <c r="J10" s="15" t="s">
        <v>27</v>
      </c>
      <c r="K10" s="13"/>
    </row>
    <row r="12" spans="1:12" ht="24" customHeight="1" x14ac:dyDescent="0.3">
      <c r="A12" s="16" t="s">
        <v>28</v>
      </c>
      <c r="B12" s="13"/>
      <c r="C12" s="13"/>
      <c r="D12" s="13"/>
      <c r="E12" s="13"/>
      <c r="F12" s="13"/>
      <c r="G12" s="13"/>
      <c r="H12" s="13"/>
      <c r="I12" s="13"/>
      <c r="J12" s="13"/>
      <c r="K12" s="13"/>
      <c r="L12" s="13"/>
    </row>
    <row r="13" spans="1:12" ht="28.05" customHeight="1" x14ac:dyDescent="0.3">
      <c r="A13" s="1" t="s">
        <v>29</v>
      </c>
      <c r="B13" s="1" t="s">
        <v>30</v>
      </c>
      <c r="C13" s="1" t="s">
        <v>31</v>
      </c>
      <c r="D13" s="1" t="s">
        <v>32</v>
      </c>
      <c r="E13" s="1" t="s">
        <v>33</v>
      </c>
      <c r="F13" s="1" t="s">
        <v>34</v>
      </c>
      <c r="G13" s="1" t="s">
        <v>35</v>
      </c>
      <c r="H13" s="1" t="s">
        <v>36</v>
      </c>
      <c r="I13" s="1" t="s">
        <v>37</v>
      </c>
      <c r="J13" s="1" t="s">
        <v>38</v>
      </c>
      <c r="K13" s="1" t="s">
        <v>39</v>
      </c>
      <c r="L13" s="1" t="s">
        <v>40</v>
      </c>
    </row>
    <row r="14" spans="1:12" ht="28.8" x14ac:dyDescent="0.3">
      <c r="A14" s="2" t="s">
        <v>41</v>
      </c>
      <c r="B14" s="2">
        <v>8</v>
      </c>
      <c r="C14" s="2">
        <v>8</v>
      </c>
      <c r="D14" s="2">
        <v>0</v>
      </c>
      <c r="E14" s="2">
        <v>0</v>
      </c>
      <c r="F14" s="2" t="s">
        <v>42</v>
      </c>
      <c r="G14" s="2" t="s">
        <v>43</v>
      </c>
      <c r="H14" s="2" t="s">
        <v>43</v>
      </c>
      <c r="I14" s="2" t="s">
        <v>9</v>
      </c>
      <c r="J14" s="2" t="s">
        <v>44</v>
      </c>
      <c r="K14" s="2" t="s">
        <v>45</v>
      </c>
      <c r="L14" s="2" t="s">
        <v>46</v>
      </c>
    </row>
    <row r="15" spans="1:12" ht="28.8" x14ac:dyDescent="0.3">
      <c r="A15" s="2" t="s">
        <v>47</v>
      </c>
      <c r="B15" s="2">
        <v>10</v>
      </c>
      <c r="C15" s="2">
        <v>9</v>
      </c>
      <c r="D15" s="2">
        <v>1</v>
      </c>
      <c r="E15" s="2">
        <v>0</v>
      </c>
      <c r="F15" s="2" t="s">
        <v>48</v>
      </c>
      <c r="G15" s="2" t="s">
        <v>25</v>
      </c>
      <c r="H15" s="2" t="s">
        <v>49</v>
      </c>
      <c r="I15" s="2" t="s">
        <v>50</v>
      </c>
      <c r="J15" s="2" t="s">
        <v>51</v>
      </c>
      <c r="K15" s="2" t="s">
        <v>52</v>
      </c>
      <c r="L15" s="2" t="s">
        <v>53</v>
      </c>
    </row>
    <row r="16" spans="1:12" x14ac:dyDescent="0.3">
      <c r="A16" s="2" t="s">
        <v>54</v>
      </c>
      <c r="B16" s="2">
        <v>12</v>
      </c>
      <c r="C16" s="2">
        <v>11</v>
      </c>
      <c r="D16" s="2">
        <v>1</v>
      </c>
      <c r="E16" s="2">
        <v>0</v>
      </c>
      <c r="F16" s="2" t="s">
        <v>55</v>
      </c>
      <c r="G16" s="2" t="s">
        <v>25</v>
      </c>
      <c r="H16" s="2" t="s">
        <v>43</v>
      </c>
      <c r="I16" s="2" t="s">
        <v>56</v>
      </c>
      <c r="J16" s="2" t="s">
        <v>57</v>
      </c>
      <c r="K16" s="2" t="s">
        <v>58</v>
      </c>
      <c r="L16" s="2" t="s">
        <v>59</v>
      </c>
    </row>
    <row r="17" spans="1:12" x14ac:dyDescent="0.3">
      <c r="A17" s="2" t="s">
        <v>60</v>
      </c>
      <c r="B17" s="2">
        <v>8</v>
      </c>
      <c r="C17" s="2">
        <v>7</v>
      </c>
      <c r="D17" s="2">
        <v>1</v>
      </c>
      <c r="E17" s="2">
        <v>0</v>
      </c>
      <c r="F17" s="2" t="s">
        <v>61</v>
      </c>
      <c r="G17" s="2" t="s">
        <v>25</v>
      </c>
      <c r="H17" s="2" t="s">
        <v>49</v>
      </c>
      <c r="I17" s="2" t="s">
        <v>62</v>
      </c>
      <c r="J17" s="2" t="s">
        <v>63</v>
      </c>
      <c r="K17" s="2" t="s">
        <v>64</v>
      </c>
      <c r="L17" s="2" t="s">
        <v>65</v>
      </c>
    </row>
    <row r="18" spans="1:12" x14ac:dyDescent="0.3">
      <c r="A18" s="2" t="s">
        <v>66</v>
      </c>
      <c r="B18" s="2">
        <v>10</v>
      </c>
      <c r="C18" s="2">
        <v>9</v>
      </c>
      <c r="D18" s="2">
        <v>1</v>
      </c>
      <c r="E18" s="2">
        <v>0</v>
      </c>
      <c r="F18" s="2" t="s">
        <v>48</v>
      </c>
      <c r="G18" s="2" t="s">
        <v>67</v>
      </c>
      <c r="H18" s="2" t="s">
        <v>49</v>
      </c>
      <c r="I18" s="2" t="s">
        <v>68</v>
      </c>
      <c r="J18" s="2" t="s">
        <v>69</v>
      </c>
      <c r="K18" s="2" t="s">
        <v>70</v>
      </c>
      <c r="L18" s="2" t="s">
        <v>71</v>
      </c>
    </row>
    <row r="19" spans="1:12" x14ac:dyDescent="0.3">
      <c r="A19" s="2" t="s">
        <v>72</v>
      </c>
      <c r="B19" s="2">
        <v>12</v>
      </c>
      <c r="C19" s="2">
        <v>12</v>
      </c>
      <c r="D19" s="2">
        <v>0</v>
      </c>
      <c r="E19" s="2">
        <v>0</v>
      </c>
      <c r="F19" s="2" t="s">
        <v>42</v>
      </c>
      <c r="G19" s="2" t="s">
        <v>43</v>
      </c>
      <c r="H19" s="2" t="s">
        <v>43</v>
      </c>
      <c r="I19" s="2" t="s">
        <v>73</v>
      </c>
      <c r="J19" s="2" t="s">
        <v>74</v>
      </c>
      <c r="K19" s="2" t="s">
        <v>75</v>
      </c>
      <c r="L19" s="2" t="s">
        <v>76</v>
      </c>
    </row>
    <row r="20" spans="1:12" ht="28.8" x14ac:dyDescent="0.3">
      <c r="A20" s="2" t="s">
        <v>77</v>
      </c>
      <c r="B20" s="2">
        <v>10</v>
      </c>
      <c r="C20" s="2">
        <v>9</v>
      </c>
      <c r="D20" s="2">
        <v>1</v>
      </c>
      <c r="E20" s="2">
        <v>0</v>
      </c>
      <c r="F20" s="2" t="s">
        <v>48</v>
      </c>
      <c r="G20" s="2" t="s">
        <v>25</v>
      </c>
      <c r="H20" s="2" t="s">
        <v>49</v>
      </c>
      <c r="I20" s="2" t="s">
        <v>50</v>
      </c>
      <c r="J20" s="2" t="s">
        <v>78</v>
      </c>
      <c r="K20" s="2" t="s">
        <v>79</v>
      </c>
      <c r="L20" s="2" t="s">
        <v>80</v>
      </c>
    </row>
    <row r="21" spans="1:12" ht="28.8" x14ac:dyDescent="0.3">
      <c r="A21" s="2" t="s">
        <v>81</v>
      </c>
      <c r="B21" s="2">
        <v>14</v>
      </c>
      <c r="C21" s="2">
        <v>13</v>
      </c>
      <c r="D21" s="2">
        <v>1</v>
      </c>
      <c r="E21" s="2">
        <v>0</v>
      </c>
      <c r="F21" s="2" t="s">
        <v>82</v>
      </c>
      <c r="G21" s="2" t="s">
        <v>25</v>
      </c>
      <c r="H21" s="2" t="s">
        <v>49</v>
      </c>
      <c r="I21" s="2" t="s">
        <v>50</v>
      </c>
      <c r="J21" s="2" t="s">
        <v>83</v>
      </c>
      <c r="K21" s="2" t="s">
        <v>84</v>
      </c>
      <c r="L21" s="2" t="s">
        <v>85</v>
      </c>
    </row>
    <row r="22" spans="1:12" x14ac:dyDescent="0.3">
      <c r="A22" s="2" t="s">
        <v>86</v>
      </c>
      <c r="B22" s="2">
        <v>10</v>
      </c>
      <c r="C22" s="2">
        <v>10</v>
      </c>
      <c r="D22" s="2">
        <v>0</v>
      </c>
      <c r="E22" s="2">
        <v>0</v>
      </c>
      <c r="F22" s="2" t="s">
        <v>42</v>
      </c>
      <c r="G22" s="2" t="s">
        <v>43</v>
      </c>
      <c r="H22" s="2" t="s">
        <v>43</v>
      </c>
      <c r="I22" s="2" t="s">
        <v>87</v>
      </c>
      <c r="J22" s="2" t="s">
        <v>74</v>
      </c>
      <c r="K22" s="2" t="s">
        <v>88</v>
      </c>
      <c r="L22" s="2" t="s">
        <v>89</v>
      </c>
    </row>
    <row r="23" spans="1:12" x14ac:dyDescent="0.3">
      <c r="A23" s="2" t="s">
        <v>90</v>
      </c>
      <c r="B23" s="2">
        <v>6</v>
      </c>
      <c r="C23" s="2">
        <v>6</v>
      </c>
      <c r="D23" s="2">
        <v>0</v>
      </c>
      <c r="E23" s="2">
        <v>0</v>
      </c>
      <c r="F23" s="2" t="s">
        <v>42</v>
      </c>
      <c r="G23" s="2" t="s">
        <v>43</v>
      </c>
      <c r="H23" s="2" t="s">
        <v>43</v>
      </c>
      <c r="I23" s="2" t="s">
        <v>50</v>
      </c>
      <c r="J23" s="2" t="s">
        <v>91</v>
      </c>
      <c r="K23" s="2" t="s">
        <v>92</v>
      </c>
      <c r="L23" s="2" t="s">
        <v>93</v>
      </c>
    </row>
    <row r="26" spans="1:12" ht="24" customHeight="1" x14ac:dyDescent="0.3">
      <c r="A26" s="16" t="s">
        <v>94</v>
      </c>
      <c r="B26" s="13"/>
      <c r="C26" s="13"/>
      <c r="D26" s="13"/>
      <c r="E26" s="13"/>
      <c r="F26" s="13"/>
      <c r="G26" s="13"/>
      <c r="H26" s="13"/>
      <c r="I26" s="13"/>
      <c r="J26" s="13"/>
      <c r="K26" s="13"/>
      <c r="L26" s="13"/>
    </row>
    <row r="27" spans="1:12" ht="28.05" customHeight="1" x14ac:dyDescent="0.3">
      <c r="A27" s="1" t="s">
        <v>95</v>
      </c>
      <c r="B27" s="1" t="s">
        <v>96</v>
      </c>
      <c r="C27" s="1" t="s">
        <v>97</v>
      </c>
      <c r="D27" s="1" t="s">
        <v>98</v>
      </c>
      <c r="E27" s="1" t="s">
        <v>99</v>
      </c>
      <c r="F27" s="1" t="s">
        <v>100</v>
      </c>
      <c r="G27" s="1" t="s">
        <v>101</v>
      </c>
      <c r="H27" s="1" t="s">
        <v>37</v>
      </c>
      <c r="I27" s="1" t="s">
        <v>102</v>
      </c>
      <c r="J27" s="1" t="s">
        <v>103</v>
      </c>
      <c r="K27" s="1" t="s">
        <v>104</v>
      </c>
      <c r="L27" s="1" t="s">
        <v>105</v>
      </c>
    </row>
    <row r="28" spans="1:12" ht="28.8" x14ac:dyDescent="0.3">
      <c r="A28" s="2" t="s">
        <v>106</v>
      </c>
      <c r="B28" s="2" t="s">
        <v>107</v>
      </c>
      <c r="C28" s="2" t="s">
        <v>108</v>
      </c>
      <c r="D28" s="2" t="s">
        <v>109</v>
      </c>
      <c r="E28" s="2">
        <v>28</v>
      </c>
      <c r="F28" s="2" t="s">
        <v>110</v>
      </c>
      <c r="G28" s="2" t="s">
        <v>111</v>
      </c>
      <c r="H28" s="2" t="s">
        <v>50</v>
      </c>
      <c r="I28" s="2" t="s">
        <v>112</v>
      </c>
      <c r="J28" s="2" t="s">
        <v>113</v>
      </c>
      <c r="K28" s="2" t="s">
        <v>114</v>
      </c>
      <c r="L28" s="2" t="s">
        <v>115</v>
      </c>
    </row>
    <row r="29" spans="1:12" ht="28.8" x14ac:dyDescent="0.3">
      <c r="A29" s="2" t="s">
        <v>116</v>
      </c>
      <c r="B29" s="2" t="s">
        <v>107</v>
      </c>
      <c r="C29" s="2" t="s">
        <v>117</v>
      </c>
      <c r="D29" s="2" t="s">
        <v>118</v>
      </c>
      <c r="E29" s="2">
        <v>84</v>
      </c>
      <c r="F29" s="2" t="s">
        <v>119</v>
      </c>
      <c r="G29" s="2" t="s">
        <v>120</v>
      </c>
      <c r="H29" s="2" t="s">
        <v>9</v>
      </c>
      <c r="I29" s="2" t="s">
        <v>121</v>
      </c>
      <c r="J29" s="2" t="s">
        <v>122</v>
      </c>
      <c r="K29" s="2" t="s">
        <v>123</v>
      </c>
      <c r="L29" s="2" t="s">
        <v>91</v>
      </c>
    </row>
    <row r="30" spans="1:12" ht="28.8" x14ac:dyDescent="0.3">
      <c r="A30" s="2" t="s">
        <v>124</v>
      </c>
      <c r="B30" s="2" t="s">
        <v>125</v>
      </c>
      <c r="C30" s="2" t="s">
        <v>126</v>
      </c>
      <c r="D30" s="2" t="s">
        <v>33</v>
      </c>
      <c r="E30" s="2" t="s">
        <v>33</v>
      </c>
      <c r="F30" s="2" t="s">
        <v>119</v>
      </c>
      <c r="G30" s="2" t="s">
        <v>127</v>
      </c>
      <c r="H30" s="2" t="s">
        <v>50</v>
      </c>
      <c r="I30" s="2" t="s">
        <v>33</v>
      </c>
      <c r="J30" s="2" t="s">
        <v>128</v>
      </c>
      <c r="K30" s="2" t="s">
        <v>129</v>
      </c>
      <c r="L30" s="2" t="s">
        <v>130</v>
      </c>
    </row>
    <row r="33" spans="1:12" ht="24" customHeight="1" x14ac:dyDescent="0.3">
      <c r="A33" s="16" t="s">
        <v>131</v>
      </c>
      <c r="B33" s="13"/>
      <c r="C33" s="13"/>
      <c r="D33" s="13"/>
      <c r="E33" s="13"/>
      <c r="F33" s="13"/>
      <c r="G33" s="13"/>
      <c r="H33" s="13"/>
      <c r="I33" s="13"/>
      <c r="J33" s="13"/>
      <c r="K33" s="13"/>
      <c r="L33" s="13"/>
    </row>
    <row r="34" spans="1:12" ht="28.05" customHeight="1" x14ac:dyDescent="0.3">
      <c r="A34" s="1" t="s">
        <v>132</v>
      </c>
      <c r="B34" s="1" t="s">
        <v>104</v>
      </c>
      <c r="C34" s="1" t="s">
        <v>133</v>
      </c>
      <c r="D34" s="1" t="s">
        <v>101</v>
      </c>
      <c r="E34" s="1" t="s">
        <v>134</v>
      </c>
      <c r="F34" s="1" t="s">
        <v>135</v>
      </c>
      <c r="G34" s="1" t="s">
        <v>37</v>
      </c>
      <c r="H34" s="1" t="s">
        <v>136</v>
      </c>
      <c r="I34" s="1" t="s">
        <v>100</v>
      </c>
      <c r="J34" s="1" t="s">
        <v>137</v>
      </c>
      <c r="K34" s="1" t="s">
        <v>138</v>
      </c>
      <c r="L34" s="1" t="s">
        <v>139</v>
      </c>
    </row>
    <row r="35" spans="1:12" ht="28.8" x14ac:dyDescent="0.3">
      <c r="A35" s="2" t="s">
        <v>140</v>
      </c>
      <c r="B35" s="2" t="s">
        <v>114</v>
      </c>
      <c r="C35" s="2" t="s">
        <v>141</v>
      </c>
      <c r="D35" s="2" t="s">
        <v>111</v>
      </c>
      <c r="E35" s="2" t="s">
        <v>142</v>
      </c>
      <c r="F35" s="2" t="s">
        <v>143</v>
      </c>
      <c r="G35" s="2" t="s">
        <v>9</v>
      </c>
      <c r="H35" s="2" t="s">
        <v>112</v>
      </c>
      <c r="I35" s="2" t="s">
        <v>144</v>
      </c>
      <c r="J35" s="2"/>
      <c r="K35" s="2" t="s">
        <v>145</v>
      </c>
      <c r="L35" s="2" t="s">
        <v>146</v>
      </c>
    </row>
    <row r="36" spans="1:12" ht="43.2" x14ac:dyDescent="0.3">
      <c r="A36" s="2" t="s">
        <v>147</v>
      </c>
      <c r="B36" s="2" t="s">
        <v>148</v>
      </c>
      <c r="C36" s="2" t="s">
        <v>149</v>
      </c>
      <c r="D36" s="2" t="s">
        <v>150</v>
      </c>
      <c r="E36" s="2" t="s">
        <v>151</v>
      </c>
      <c r="F36" s="2" t="s">
        <v>152</v>
      </c>
      <c r="G36" s="2" t="s">
        <v>62</v>
      </c>
      <c r="H36" s="2" t="s">
        <v>153</v>
      </c>
      <c r="I36" s="2" t="s">
        <v>154</v>
      </c>
      <c r="J36" s="2"/>
      <c r="K36" s="2" t="s">
        <v>155</v>
      </c>
      <c r="L36" s="2" t="s">
        <v>156</v>
      </c>
    </row>
    <row r="37" spans="1:12" ht="43.2" x14ac:dyDescent="0.3">
      <c r="A37" s="2" t="s">
        <v>157</v>
      </c>
      <c r="B37" s="2" t="s">
        <v>158</v>
      </c>
      <c r="C37" s="2" t="s">
        <v>159</v>
      </c>
      <c r="D37" s="2" t="s">
        <v>111</v>
      </c>
      <c r="E37" s="2" t="s">
        <v>160</v>
      </c>
      <c r="F37" s="2" t="s">
        <v>161</v>
      </c>
      <c r="G37" s="2" t="s">
        <v>73</v>
      </c>
      <c r="H37" s="2" t="s">
        <v>162</v>
      </c>
      <c r="I37" s="2" t="s">
        <v>144</v>
      </c>
      <c r="J37" s="2"/>
      <c r="K37" s="2" t="s">
        <v>163</v>
      </c>
      <c r="L37" s="2" t="s">
        <v>164</v>
      </c>
    </row>
    <row r="40" spans="1:12" ht="24" customHeight="1" x14ac:dyDescent="0.3">
      <c r="A40" s="16" t="s">
        <v>165</v>
      </c>
      <c r="B40" s="13"/>
      <c r="C40" s="13"/>
      <c r="D40" s="13"/>
      <c r="E40" s="13"/>
      <c r="F40" s="13"/>
      <c r="G40" s="13"/>
      <c r="H40" s="13"/>
      <c r="I40" s="13"/>
      <c r="J40" s="13"/>
      <c r="K40" s="13"/>
      <c r="L40" s="13"/>
    </row>
    <row r="41" spans="1:12" ht="28.05" customHeight="1" x14ac:dyDescent="0.3">
      <c r="A41" s="1" t="s">
        <v>166</v>
      </c>
      <c r="B41" s="1" t="s">
        <v>167</v>
      </c>
      <c r="C41" s="1" t="s">
        <v>168</v>
      </c>
      <c r="D41" s="1" t="s">
        <v>130</v>
      </c>
      <c r="E41" s="1" t="s">
        <v>100</v>
      </c>
      <c r="F41" s="1" t="s">
        <v>169</v>
      </c>
      <c r="G41" s="1" t="s">
        <v>37</v>
      </c>
      <c r="H41" s="1" t="s">
        <v>170</v>
      </c>
      <c r="I41" s="1" t="s">
        <v>171</v>
      </c>
      <c r="J41" s="1" t="s">
        <v>104</v>
      </c>
      <c r="K41" s="1" t="s">
        <v>172</v>
      </c>
      <c r="L41" s="1" t="s">
        <v>105</v>
      </c>
    </row>
    <row r="42" spans="1:12" x14ac:dyDescent="0.3">
      <c r="A42" s="2" t="s">
        <v>173</v>
      </c>
      <c r="B42" s="2">
        <v>8</v>
      </c>
      <c r="C42" s="2">
        <v>8</v>
      </c>
      <c r="D42" s="2">
        <v>8</v>
      </c>
      <c r="E42" s="2" t="s">
        <v>174</v>
      </c>
      <c r="F42" s="2" t="s">
        <v>175</v>
      </c>
      <c r="G42" s="2" t="s">
        <v>50</v>
      </c>
      <c r="H42" s="2" t="s">
        <v>112</v>
      </c>
      <c r="I42" s="2"/>
      <c r="J42" s="2" t="s">
        <v>176</v>
      </c>
      <c r="K42" s="2" t="s">
        <v>39</v>
      </c>
      <c r="L42" s="2" t="s">
        <v>177</v>
      </c>
    </row>
    <row r="43" spans="1:12" x14ac:dyDescent="0.3">
      <c r="A43" s="2" t="s">
        <v>178</v>
      </c>
      <c r="B43" s="2">
        <v>12</v>
      </c>
      <c r="C43" s="2">
        <v>12</v>
      </c>
      <c r="D43" s="2">
        <v>11</v>
      </c>
      <c r="E43" s="2" t="s">
        <v>179</v>
      </c>
      <c r="F43" s="2" t="s">
        <v>180</v>
      </c>
      <c r="G43" s="2" t="s">
        <v>181</v>
      </c>
      <c r="H43" s="2" t="s">
        <v>112</v>
      </c>
      <c r="I43" s="2" t="s">
        <v>182</v>
      </c>
      <c r="J43" s="2" t="s">
        <v>183</v>
      </c>
      <c r="K43" s="2" t="s">
        <v>184</v>
      </c>
      <c r="L43" s="2" t="s">
        <v>185</v>
      </c>
    </row>
    <row r="44" spans="1:12" x14ac:dyDescent="0.3">
      <c r="A44" s="2" t="s">
        <v>73</v>
      </c>
      <c r="B44" s="2">
        <v>12</v>
      </c>
      <c r="C44" s="2">
        <v>12</v>
      </c>
      <c r="D44" s="2">
        <v>12</v>
      </c>
      <c r="E44" s="2" t="s">
        <v>174</v>
      </c>
      <c r="F44" s="2" t="s">
        <v>186</v>
      </c>
      <c r="G44" s="2" t="s">
        <v>73</v>
      </c>
      <c r="H44" s="2" t="s">
        <v>112</v>
      </c>
      <c r="I44" s="2"/>
      <c r="J44" s="2" t="s">
        <v>187</v>
      </c>
      <c r="K44" s="2" t="s">
        <v>73</v>
      </c>
      <c r="L44" s="2" t="s">
        <v>177</v>
      </c>
    </row>
    <row r="45" spans="1:12" x14ac:dyDescent="0.3">
      <c r="A45" s="2" t="s">
        <v>188</v>
      </c>
      <c r="B45" s="2">
        <v>10</v>
      </c>
      <c r="C45" s="2">
        <v>10</v>
      </c>
      <c r="D45" s="2">
        <v>9</v>
      </c>
      <c r="E45" s="2" t="s">
        <v>179</v>
      </c>
      <c r="F45" s="2" t="s">
        <v>189</v>
      </c>
      <c r="G45" s="2" t="s">
        <v>50</v>
      </c>
      <c r="H45" s="2" t="s">
        <v>112</v>
      </c>
      <c r="I45" s="2" t="s">
        <v>157</v>
      </c>
      <c r="J45" s="2" t="s">
        <v>190</v>
      </c>
      <c r="K45" s="2" t="s">
        <v>191</v>
      </c>
      <c r="L45" s="2" t="s">
        <v>192</v>
      </c>
    </row>
    <row r="46" spans="1:12" x14ac:dyDescent="0.3">
      <c r="A46" s="2" t="s">
        <v>193</v>
      </c>
      <c r="B46" s="2">
        <v>10</v>
      </c>
      <c r="C46" s="2">
        <v>10</v>
      </c>
      <c r="D46" s="2">
        <v>10</v>
      </c>
      <c r="E46" s="2" t="s">
        <v>174</v>
      </c>
      <c r="F46" s="2" t="s">
        <v>194</v>
      </c>
      <c r="G46" s="2" t="s">
        <v>195</v>
      </c>
      <c r="H46" s="2" t="s">
        <v>112</v>
      </c>
      <c r="I46" s="2"/>
      <c r="J46" s="2" t="s">
        <v>196</v>
      </c>
      <c r="K46" s="2" t="s">
        <v>197</v>
      </c>
      <c r="L46" s="2" t="s">
        <v>177</v>
      </c>
    </row>
    <row r="49" spans="1:12" ht="24" customHeight="1" x14ac:dyDescent="0.3">
      <c r="A49" s="16" t="s">
        <v>198</v>
      </c>
      <c r="B49" s="13"/>
      <c r="C49" s="13"/>
      <c r="D49" s="13"/>
      <c r="E49" s="13"/>
      <c r="F49" s="13"/>
      <c r="G49" s="13"/>
      <c r="H49" s="13"/>
      <c r="I49" s="13"/>
      <c r="J49" s="13"/>
      <c r="K49" s="13"/>
      <c r="L49" s="13"/>
    </row>
    <row r="50" spans="1:12" ht="28.05" customHeight="1" x14ac:dyDescent="0.3">
      <c r="A50" s="1" t="s">
        <v>199</v>
      </c>
      <c r="B50" s="1" t="s">
        <v>200</v>
      </c>
      <c r="C50" s="1" t="s">
        <v>37</v>
      </c>
      <c r="D50" s="1" t="s">
        <v>136</v>
      </c>
      <c r="E50" s="1" t="s">
        <v>201</v>
      </c>
      <c r="F50" s="1" t="s">
        <v>202</v>
      </c>
      <c r="G50" s="1" t="s">
        <v>139</v>
      </c>
      <c r="H50" s="1" t="s">
        <v>100</v>
      </c>
      <c r="I50" s="1" t="s">
        <v>203</v>
      </c>
      <c r="J50" s="1" t="s">
        <v>204</v>
      </c>
      <c r="K50" s="1" t="s">
        <v>104</v>
      </c>
      <c r="L50" s="1" t="s">
        <v>205</v>
      </c>
    </row>
    <row r="51" spans="1:12" ht="43.2" x14ac:dyDescent="0.3">
      <c r="A51" s="2" t="s">
        <v>150</v>
      </c>
      <c r="B51" s="2" t="s">
        <v>206</v>
      </c>
      <c r="C51" s="2" t="s">
        <v>62</v>
      </c>
      <c r="D51" s="2" t="s">
        <v>153</v>
      </c>
      <c r="E51" s="2" t="s">
        <v>147</v>
      </c>
      <c r="F51" s="2" t="s">
        <v>207</v>
      </c>
      <c r="G51" s="2" t="s">
        <v>208</v>
      </c>
      <c r="H51" s="2" t="s">
        <v>154</v>
      </c>
      <c r="I51" s="2"/>
      <c r="J51" s="2"/>
      <c r="K51" s="2" t="s">
        <v>148</v>
      </c>
      <c r="L51" s="2"/>
    </row>
    <row r="52" spans="1:12" ht="28.8" x14ac:dyDescent="0.3">
      <c r="A52" s="2" t="s">
        <v>111</v>
      </c>
      <c r="B52" s="2" t="s">
        <v>209</v>
      </c>
      <c r="C52" s="2" t="s">
        <v>73</v>
      </c>
      <c r="D52" s="2" t="s">
        <v>162</v>
      </c>
      <c r="E52" s="2" t="s">
        <v>157</v>
      </c>
      <c r="F52" s="2" t="s">
        <v>210</v>
      </c>
      <c r="G52" s="2" t="s">
        <v>211</v>
      </c>
      <c r="H52" s="2" t="s">
        <v>144</v>
      </c>
      <c r="I52" s="2"/>
      <c r="J52" s="2"/>
      <c r="K52" s="2" t="s">
        <v>158</v>
      </c>
      <c r="L52" s="2"/>
    </row>
    <row r="53" spans="1:12" ht="28.8" x14ac:dyDescent="0.3">
      <c r="A53" s="2" t="s">
        <v>111</v>
      </c>
      <c r="B53" s="2" t="s">
        <v>212</v>
      </c>
      <c r="C53" s="2" t="s">
        <v>9</v>
      </c>
      <c r="D53" s="2" t="s">
        <v>112</v>
      </c>
      <c r="E53" s="2" t="s">
        <v>140</v>
      </c>
      <c r="F53" s="2" t="s">
        <v>213</v>
      </c>
      <c r="G53" s="2" t="s">
        <v>146</v>
      </c>
      <c r="H53" s="2" t="s">
        <v>144</v>
      </c>
      <c r="I53" s="2"/>
      <c r="J53" s="2"/>
      <c r="K53" s="2" t="s">
        <v>114</v>
      </c>
      <c r="L53" s="2"/>
    </row>
    <row r="57" spans="1:12" ht="24" customHeight="1" x14ac:dyDescent="0.3">
      <c r="A57" s="16" t="s">
        <v>214</v>
      </c>
      <c r="B57" s="13"/>
      <c r="C57" s="13"/>
      <c r="D57" s="13"/>
      <c r="E57" s="13"/>
      <c r="F57" s="13"/>
      <c r="G57" s="13"/>
      <c r="H57" s="13"/>
      <c r="I57" s="13"/>
      <c r="J57" s="13"/>
      <c r="K57" s="13"/>
      <c r="L57" s="13"/>
    </row>
    <row r="58" spans="1:12" ht="28.8" x14ac:dyDescent="0.3">
      <c r="A58" s="2" t="s">
        <v>215</v>
      </c>
      <c r="B58" s="2" t="s">
        <v>216</v>
      </c>
      <c r="C58" s="2" t="s">
        <v>217</v>
      </c>
      <c r="D58" s="2" t="s">
        <v>146</v>
      </c>
      <c r="E58" s="2" t="s">
        <v>218</v>
      </c>
      <c r="F58" s="2" t="s">
        <v>219</v>
      </c>
      <c r="G58" s="2" t="s">
        <v>220</v>
      </c>
      <c r="H58" s="2" t="s">
        <v>18</v>
      </c>
      <c r="I58" s="2" t="s">
        <v>221</v>
      </c>
      <c r="J58" s="2" t="s">
        <v>112</v>
      </c>
      <c r="K58" s="2" t="s">
        <v>222</v>
      </c>
      <c r="L58" s="2" t="s">
        <v>223</v>
      </c>
    </row>
  </sheetData>
  <mergeCells count="18">
    <mergeCell ref="A57:L57"/>
    <mergeCell ref="A2:L2"/>
    <mergeCell ref="D10:E10"/>
    <mergeCell ref="A33:L33"/>
    <mergeCell ref="A49:L49"/>
    <mergeCell ref="G10:H10"/>
    <mergeCell ref="A1:L1"/>
    <mergeCell ref="A10:B10"/>
    <mergeCell ref="J10:K10"/>
    <mergeCell ref="A8:L8"/>
    <mergeCell ref="A40:L40"/>
    <mergeCell ref="A9:B9"/>
    <mergeCell ref="G9:H9"/>
    <mergeCell ref="D9:E9"/>
    <mergeCell ref="A12:L12"/>
    <mergeCell ref="A4:L4"/>
    <mergeCell ref="J9:K9"/>
    <mergeCell ref="A26:L26"/>
  </mergeCells>
  <pageMargins left="0.25" right="0.25" top="0.5" bottom="0.5" header="0.5" footer="0.5"/>
  <pageSetup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6"/>
  <sheetViews>
    <sheetView showGridLines="0" workbookViewId="0">
      <pane ySplit="5" topLeftCell="A6" activePane="bottomLeft" state="frozen"/>
      <selection pane="bottomLeft" activeCell="B56" sqref="B56"/>
    </sheetView>
  </sheetViews>
  <sheetFormatPr defaultColWidth="8.77734375" defaultRowHeight="14.4" x14ac:dyDescent="0.3"/>
  <cols>
    <col min="1" max="6" width="19" customWidth="1"/>
    <col min="7" max="7" width="24" customWidth="1"/>
    <col min="8" max="8" width="26" customWidth="1"/>
    <col min="9" max="9" width="28" customWidth="1"/>
    <col min="10" max="12" width="22" customWidth="1"/>
  </cols>
  <sheetData>
    <row r="1" spans="1:12" ht="31.95" customHeight="1" x14ac:dyDescent="0.3">
      <c r="A1" s="12" t="s">
        <v>0</v>
      </c>
      <c r="B1" s="13"/>
      <c r="C1" s="13"/>
      <c r="D1" s="13"/>
      <c r="E1" s="13"/>
      <c r="F1" s="13"/>
      <c r="G1" s="13"/>
      <c r="H1" s="13"/>
      <c r="I1" s="13"/>
      <c r="J1" s="13"/>
      <c r="K1" s="13"/>
      <c r="L1" s="13"/>
    </row>
    <row r="2" spans="1:12" ht="34.950000000000003" customHeight="1" x14ac:dyDescent="0.3">
      <c r="A2" s="21" t="s">
        <v>224</v>
      </c>
      <c r="B2" s="13"/>
      <c r="C2" s="13"/>
      <c r="D2" s="13"/>
      <c r="E2" s="13"/>
      <c r="F2" s="13"/>
      <c r="G2" s="13"/>
      <c r="H2" s="13"/>
      <c r="I2" s="13"/>
      <c r="J2" s="13"/>
      <c r="K2" s="13"/>
      <c r="L2" s="13"/>
    </row>
    <row r="4" spans="1:12" ht="24" customHeight="1" x14ac:dyDescent="0.3">
      <c r="A4" s="16" t="s">
        <v>225</v>
      </c>
      <c r="B4" s="13"/>
      <c r="C4" s="13"/>
      <c r="D4" s="13"/>
      <c r="E4" s="13"/>
      <c r="F4" s="13"/>
      <c r="G4" s="13"/>
      <c r="H4" s="13"/>
      <c r="I4" s="13"/>
      <c r="J4" s="13"/>
      <c r="K4" s="13"/>
      <c r="L4" s="13"/>
    </row>
    <row r="5" spans="1:12" ht="28.05" customHeight="1" x14ac:dyDescent="0.3">
      <c r="A5" s="1" t="s">
        <v>3</v>
      </c>
      <c r="B5" s="1" t="s">
        <v>4</v>
      </c>
      <c r="C5" s="1" t="s">
        <v>3</v>
      </c>
      <c r="D5" s="1" t="s">
        <v>4</v>
      </c>
      <c r="E5" s="1" t="s">
        <v>3</v>
      </c>
      <c r="F5" s="1" t="s">
        <v>4</v>
      </c>
      <c r="G5" s="1" t="s">
        <v>3</v>
      </c>
      <c r="H5" s="1" t="s">
        <v>4</v>
      </c>
      <c r="I5" s="1" t="s">
        <v>3</v>
      </c>
      <c r="J5" s="1" t="s">
        <v>4</v>
      </c>
      <c r="K5" s="1" t="s">
        <v>5</v>
      </c>
      <c r="L5" s="1" t="s">
        <v>6</v>
      </c>
    </row>
    <row r="6" spans="1:12" ht="28.8" x14ac:dyDescent="0.3">
      <c r="A6" s="2" t="s">
        <v>226</v>
      </c>
      <c r="B6" s="2" t="s">
        <v>8</v>
      </c>
      <c r="C6" s="2" t="s">
        <v>227</v>
      </c>
      <c r="D6" s="2" t="s">
        <v>228</v>
      </c>
      <c r="E6" s="2" t="s">
        <v>229</v>
      </c>
      <c r="F6" s="2" t="s">
        <v>230</v>
      </c>
      <c r="G6" s="2" t="s">
        <v>15</v>
      </c>
      <c r="H6" s="2" t="s">
        <v>231</v>
      </c>
      <c r="I6" s="2" t="s">
        <v>232</v>
      </c>
      <c r="J6" s="2" t="s">
        <v>109</v>
      </c>
      <c r="K6" s="2" t="s">
        <v>233</v>
      </c>
      <c r="L6" s="2" t="s">
        <v>18</v>
      </c>
    </row>
    <row r="8" spans="1:12" ht="24" customHeight="1" x14ac:dyDescent="0.3">
      <c r="A8" s="16" t="s">
        <v>234</v>
      </c>
      <c r="B8" s="13"/>
      <c r="C8" s="13"/>
      <c r="D8" s="13"/>
      <c r="E8" s="13"/>
      <c r="F8" s="13"/>
      <c r="G8" s="13"/>
      <c r="H8" s="13"/>
      <c r="I8" s="13"/>
      <c r="J8" s="13"/>
      <c r="K8" s="13"/>
      <c r="L8" s="13"/>
    </row>
    <row r="9" spans="1:12" x14ac:dyDescent="0.3">
      <c r="A9" s="20" t="s">
        <v>235</v>
      </c>
      <c r="B9" s="13"/>
      <c r="D9" s="19" t="s">
        <v>236</v>
      </c>
      <c r="E9" s="13"/>
      <c r="G9" s="18" t="s">
        <v>237</v>
      </c>
      <c r="H9" s="13"/>
      <c r="J9" s="18" t="s">
        <v>238</v>
      </c>
      <c r="K9" s="13"/>
    </row>
    <row r="10" spans="1:12" ht="23.4" x14ac:dyDescent="0.3">
      <c r="A10" s="15" t="s">
        <v>24</v>
      </c>
      <c r="B10" s="13"/>
      <c r="D10" s="22" t="s">
        <v>25</v>
      </c>
      <c r="E10" s="13"/>
      <c r="G10" s="23" t="s">
        <v>26</v>
      </c>
      <c r="H10" s="13"/>
      <c r="J10" s="23" t="s">
        <v>239</v>
      </c>
      <c r="K10" s="13"/>
    </row>
    <row r="12" spans="1:12" ht="24" customHeight="1" x14ac:dyDescent="0.3">
      <c r="A12" s="16" t="s">
        <v>240</v>
      </c>
      <c r="B12" s="13"/>
      <c r="C12" s="13"/>
      <c r="D12" s="13"/>
      <c r="E12" s="13"/>
      <c r="F12" s="13"/>
      <c r="G12" s="13"/>
      <c r="H12" s="13"/>
      <c r="I12" s="13"/>
      <c r="J12" s="13"/>
      <c r="K12" s="13"/>
      <c r="L12" s="13"/>
    </row>
    <row r="13" spans="1:12" ht="28.05" customHeight="1" x14ac:dyDescent="0.3">
      <c r="A13" s="1" t="s">
        <v>241</v>
      </c>
      <c r="B13" s="1" t="s">
        <v>242</v>
      </c>
      <c r="C13" s="1" t="s">
        <v>243</v>
      </c>
      <c r="D13" s="1" t="s">
        <v>244</v>
      </c>
      <c r="E13" s="1" t="s">
        <v>245</v>
      </c>
      <c r="F13" s="1" t="s">
        <v>246</v>
      </c>
      <c r="G13" s="1" t="s">
        <v>247</v>
      </c>
      <c r="H13" s="1" t="s">
        <v>248</v>
      </c>
      <c r="I13" s="1" t="s">
        <v>37</v>
      </c>
      <c r="J13" s="1" t="s">
        <v>249</v>
      </c>
      <c r="K13" s="1" t="s">
        <v>39</v>
      </c>
      <c r="L13" s="1" t="s">
        <v>250</v>
      </c>
    </row>
    <row r="14" spans="1:12" x14ac:dyDescent="0.3">
      <c r="A14" s="2" t="s">
        <v>20</v>
      </c>
      <c r="B14" s="2">
        <v>92.5</v>
      </c>
      <c r="C14" s="2">
        <v>89.8</v>
      </c>
      <c r="D14" s="2">
        <v>95</v>
      </c>
      <c r="E14" s="2" t="s">
        <v>251</v>
      </c>
      <c r="F14" s="2" t="s">
        <v>111</v>
      </c>
      <c r="G14" s="2" t="s">
        <v>252</v>
      </c>
      <c r="H14" s="2" t="s">
        <v>253</v>
      </c>
      <c r="I14" s="2" t="s">
        <v>254</v>
      </c>
      <c r="J14" s="2" t="s">
        <v>255</v>
      </c>
      <c r="K14" s="2" t="s">
        <v>256</v>
      </c>
      <c r="L14" s="2" t="s">
        <v>257</v>
      </c>
    </row>
    <row r="15" spans="1:12" x14ac:dyDescent="0.3">
      <c r="A15" s="2" t="s">
        <v>236</v>
      </c>
      <c r="B15" s="2">
        <v>2</v>
      </c>
      <c r="C15" s="2">
        <v>3</v>
      </c>
      <c r="D15" s="2">
        <v>0</v>
      </c>
      <c r="E15" s="2" t="s">
        <v>251</v>
      </c>
      <c r="F15" s="2" t="s">
        <v>150</v>
      </c>
      <c r="G15" s="2" t="s">
        <v>258</v>
      </c>
      <c r="H15" s="2" t="s">
        <v>259</v>
      </c>
      <c r="I15" s="2" t="s">
        <v>260</v>
      </c>
      <c r="J15" s="2" t="s">
        <v>261</v>
      </c>
      <c r="K15" s="2" t="s">
        <v>262</v>
      </c>
      <c r="L15" s="2" t="s">
        <v>263</v>
      </c>
    </row>
    <row r="16" spans="1:12" x14ac:dyDescent="0.3">
      <c r="A16" s="2" t="s">
        <v>237</v>
      </c>
      <c r="B16" s="2">
        <v>11</v>
      </c>
      <c r="C16" s="2">
        <v>15</v>
      </c>
      <c r="D16" s="2">
        <v>5</v>
      </c>
      <c r="E16" s="2" t="s">
        <v>251</v>
      </c>
      <c r="F16" s="2" t="s">
        <v>111</v>
      </c>
      <c r="G16" s="2" t="s">
        <v>264</v>
      </c>
      <c r="H16" s="2" t="s">
        <v>265</v>
      </c>
      <c r="I16" s="2" t="s">
        <v>50</v>
      </c>
      <c r="J16" s="2" t="s">
        <v>255</v>
      </c>
      <c r="K16" s="2" t="s">
        <v>266</v>
      </c>
      <c r="L16" s="2" t="s">
        <v>263</v>
      </c>
    </row>
    <row r="17" spans="1:12" ht="28.8" x14ac:dyDescent="0.3">
      <c r="A17" s="2" t="s">
        <v>267</v>
      </c>
      <c r="B17" s="2">
        <v>96</v>
      </c>
      <c r="C17" s="2">
        <v>91</v>
      </c>
      <c r="D17" s="2">
        <v>100</v>
      </c>
      <c r="E17" s="2" t="s">
        <v>251</v>
      </c>
      <c r="F17" s="2" t="s">
        <v>120</v>
      </c>
      <c r="G17" s="2" t="s">
        <v>268</v>
      </c>
      <c r="H17" s="2" t="s">
        <v>269</v>
      </c>
      <c r="I17" s="2" t="s">
        <v>50</v>
      </c>
      <c r="J17" s="2" t="s">
        <v>270</v>
      </c>
      <c r="K17" s="2" t="s">
        <v>271</v>
      </c>
      <c r="L17" s="2" t="s">
        <v>272</v>
      </c>
    </row>
    <row r="18" spans="1:12" x14ac:dyDescent="0.3">
      <c r="A18" s="2" t="s">
        <v>273</v>
      </c>
      <c r="B18" s="2">
        <v>99.5</v>
      </c>
      <c r="C18" s="2">
        <v>99.2</v>
      </c>
      <c r="D18" s="2">
        <v>100</v>
      </c>
      <c r="E18" s="2" t="s">
        <v>274</v>
      </c>
      <c r="F18" s="2" t="s">
        <v>120</v>
      </c>
      <c r="G18" s="2" t="s">
        <v>275</v>
      </c>
      <c r="H18" s="2" t="s">
        <v>74</v>
      </c>
      <c r="I18" s="2" t="s">
        <v>276</v>
      </c>
      <c r="J18" s="2" t="s">
        <v>255</v>
      </c>
      <c r="K18" s="2" t="s">
        <v>277</v>
      </c>
      <c r="L18" s="2" t="s">
        <v>278</v>
      </c>
    </row>
    <row r="21" spans="1:12" ht="24" customHeight="1" x14ac:dyDescent="0.3">
      <c r="A21" s="16" t="s">
        <v>279</v>
      </c>
      <c r="B21" s="13"/>
      <c r="C21" s="13"/>
      <c r="D21" s="13"/>
      <c r="E21" s="13"/>
      <c r="F21" s="13"/>
      <c r="G21" s="13"/>
      <c r="H21" s="13"/>
      <c r="I21" s="13"/>
      <c r="J21" s="13"/>
      <c r="K21" s="13"/>
      <c r="L21" s="13"/>
    </row>
    <row r="22" spans="1:12" ht="28.05" customHeight="1" x14ac:dyDescent="0.3">
      <c r="A22" s="1" t="s">
        <v>280</v>
      </c>
      <c r="B22" s="1" t="s">
        <v>281</v>
      </c>
      <c r="C22" s="1" t="s">
        <v>282</v>
      </c>
      <c r="D22" s="1" t="s">
        <v>283</v>
      </c>
      <c r="E22" s="1" t="s">
        <v>21</v>
      </c>
      <c r="F22" s="1" t="s">
        <v>22</v>
      </c>
      <c r="G22" s="1" t="s">
        <v>36</v>
      </c>
      <c r="H22" s="1" t="s">
        <v>284</v>
      </c>
      <c r="I22" s="1" t="s">
        <v>285</v>
      </c>
      <c r="J22" s="1" t="s">
        <v>245</v>
      </c>
      <c r="K22" s="1" t="s">
        <v>39</v>
      </c>
      <c r="L22" s="1" t="s">
        <v>250</v>
      </c>
    </row>
    <row r="23" spans="1:12" x14ac:dyDescent="0.3">
      <c r="A23" s="2" t="s">
        <v>150</v>
      </c>
      <c r="B23" s="2">
        <v>2</v>
      </c>
      <c r="C23" s="2">
        <v>3</v>
      </c>
      <c r="D23" s="2">
        <v>418</v>
      </c>
      <c r="E23" s="2">
        <v>1</v>
      </c>
      <c r="F23" s="2">
        <v>3</v>
      </c>
      <c r="G23" s="2">
        <v>2</v>
      </c>
      <c r="H23" s="2" t="s">
        <v>111</v>
      </c>
      <c r="I23" s="2" t="s">
        <v>286</v>
      </c>
      <c r="J23" s="2" t="s">
        <v>287</v>
      </c>
      <c r="K23" s="2" t="s">
        <v>288</v>
      </c>
      <c r="L23" s="2" t="s">
        <v>289</v>
      </c>
    </row>
    <row r="24" spans="1:12" x14ac:dyDescent="0.3">
      <c r="A24" s="2" t="s">
        <v>111</v>
      </c>
      <c r="B24" s="2">
        <v>8</v>
      </c>
      <c r="C24" s="2">
        <v>7</v>
      </c>
      <c r="D24" s="2">
        <v>1250</v>
      </c>
      <c r="E24" s="2">
        <v>1</v>
      </c>
      <c r="F24" s="2">
        <v>5</v>
      </c>
      <c r="G24" s="2">
        <v>4</v>
      </c>
      <c r="H24" s="2" t="s">
        <v>111</v>
      </c>
      <c r="I24" s="2" t="s">
        <v>290</v>
      </c>
      <c r="J24" s="2" t="s">
        <v>287</v>
      </c>
      <c r="K24" s="2" t="s">
        <v>288</v>
      </c>
      <c r="L24" s="2" t="s">
        <v>289</v>
      </c>
    </row>
    <row r="25" spans="1:12" x14ac:dyDescent="0.3">
      <c r="A25" s="2" t="s">
        <v>120</v>
      </c>
      <c r="B25" s="2">
        <v>18</v>
      </c>
      <c r="C25" s="2">
        <v>6</v>
      </c>
      <c r="D25" s="2">
        <v>2100</v>
      </c>
      <c r="E25" s="2">
        <v>0</v>
      </c>
      <c r="F25" s="2">
        <v>3</v>
      </c>
      <c r="G25" s="2">
        <v>5</v>
      </c>
      <c r="H25" s="2" t="s">
        <v>120</v>
      </c>
      <c r="I25" s="2" t="s">
        <v>291</v>
      </c>
      <c r="J25" s="2" t="s">
        <v>292</v>
      </c>
      <c r="K25" s="2" t="s">
        <v>288</v>
      </c>
      <c r="L25" s="2" t="s">
        <v>289</v>
      </c>
    </row>
    <row r="26" spans="1:12" x14ac:dyDescent="0.3">
      <c r="A26" s="2" t="s">
        <v>127</v>
      </c>
      <c r="B26" s="2">
        <v>14</v>
      </c>
      <c r="C26" s="2">
        <v>2</v>
      </c>
      <c r="D26" s="2">
        <v>1005</v>
      </c>
      <c r="E26" s="2">
        <v>0</v>
      </c>
      <c r="F26" s="2">
        <v>0</v>
      </c>
      <c r="G26" s="2">
        <v>1</v>
      </c>
      <c r="H26" s="2" t="s">
        <v>127</v>
      </c>
      <c r="I26" s="2" t="s">
        <v>293</v>
      </c>
      <c r="J26" s="2" t="s">
        <v>292</v>
      </c>
      <c r="K26" s="2" t="s">
        <v>288</v>
      </c>
      <c r="L26" s="2" t="s">
        <v>289</v>
      </c>
    </row>
    <row r="29" spans="1:12" ht="24" customHeight="1" x14ac:dyDescent="0.3">
      <c r="A29" s="16" t="s">
        <v>294</v>
      </c>
      <c r="B29" s="13"/>
      <c r="C29" s="13"/>
      <c r="D29" s="13"/>
      <c r="E29" s="13"/>
      <c r="F29" s="13"/>
      <c r="G29" s="13"/>
      <c r="H29" s="13"/>
      <c r="I29" s="13"/>
      <c r="J29" s="13"/>
      <c r="K29" s="13"/>
      <c r="L29" s="13"/>
    </row>
    <row r="30" spans="1:12" ht="28.05" customHeight="1" x14ac:dyDescent="0.3">
      <c r="A30" s="1" t="s">
        <v>295</v>
      </c>
      <c r="B30" s="1" t="s">
        <v>34</v>
      </c>
      <c r="C30" s="1" t="s">
        <v>236</v>
      </c>
      <c r="D30" s="1" t="s">
        <v>237</v>
      </c>
      <c r="E30" s="1" t="s">
        <v>296</v>
      </c>
      <c r="F30" s="1" t="s">
        <v>297</v>
      </c>
      <c r="G30" s="1" t="s">
        <v>298</v>
      </c>
      <c r="H30" s="1" t="s">
        <v>299</v>
      </c>
      <c r="I30" s="1" t="s">
        <v>300</v>
      </c>
      <c r="J30" s="1" t="s">
        <v>301</v>
      </c>
      <c r="K30" s="1" t="s">
        <v>302</v>
      </c>
      <c r="L30" s="1" t="s">
        <v>250</v>
      </c>
    </row>
    <row r="31" spans="1:12" x14ac:dyDescent="0.3">
      <c r="A31" s="2" t="s">
        <v>303</v>
      </c>
      <c r="B31" s="2">
        <v>88.4</v>
      </c>
      <c r="C31" s="2">
        <v>4</v>
      </c>
      <c r="D31" s="2">
        <v>19</v>
      </c>
      <c r="E31" s="2">
        <v>62</v>
      </c>
      <c r="F31" s="2">
        <v>84</v>
      </c>
      <c r="G31" s="2">
        <v>94</v>
      </c>
      <c r="H31" s="2">
        <v>95</v>
      </c>
      <c r="I31" s="2">
        <v>98.8</v>
      </c>
      <c r="J31" s="2" t="s">
        <v>304</v>
      </c>
      <c r="K31" s="2" t="s">
        <v>305</v>
      </c>
      <c r="L31" s="2" t="s">
        <v>306</v>
      </c>
    </row>
    <row r="32" spans="1:12" x14ac:dyDescent="0.3">
      <c r="A32" s="2" t="s">
        <v>307</v>
      </c>
      <c r="B32" s="2">
        <v>89.7</v>
      </c>
      <c r="C32" s="2">
        <v>3</v>
      </c>
      <c r="D32" s="2">
        <v>17</v>
      </c>
      <c r="E32" s="2">
        <v>66</v>
      </c>
      <c r="F32" s="2">
        <v>88</v>
      </c>
      <c r="G32" s="2">
        <v>95</v>
      </c>
      <c r="H32" s="2">
        <v>96</v>
      </c>
      <c r="I32" s="2">
        <v>99</v>
      </c>
      <c r="J32" s="2" t="s">
        <v>251</v>
      </c>
      <c r="K32" s="2" t="s">
        <v>305</v>
      </c>
      <c r="L32" s="2" t="s">
        <v>306</v>
      </c>
    </row>
    <row r="33" spans="1:12" x14ac:dyDescent="0.3">
      <c r="A33" s="2" t="s">
        <v>308</v>
      </c>
      <c r="B33" s="2">
        <v>90.6</v>
      </c>
      <c r="C33" s="2">
        <v>3</v>
      </c>
      <c r="D33" s="2">
        <v>16</v>
      </c>
      <c r="E33" s="2">
        <v>70</v>
      </c>
      <c r="F33" s="2">
        <v>90</v>
      </c>
      <c r="G33" s="2">
        <v>96</v>
      </c>
      <c r="H33" s="2">
        <v>96</v>
      </c>
      <c r="I33" s="2">
        <v>99.1</v>
      </c>
      <c r="J33" s="2" t="s">
        <v>251</v>
      </c>
      <c r="K33" s="2" t="s">
        <v>305</v>
      </c>
      <c r="L33" s="2" t="s">
        <v>306</v>
      </c>
    </row>
    <row r="34" spans="1:12" x14ac:dyDescent="0.3">
      <c r="A34" s="2" t="s">
        <v>309</v>
      </c>
      <c r="B34" s="2">
        <v>91.2</v>
      </c>
      <c r="C34" s="2">
        <v>3</v>
      </c>
      <c r="D34" s="2">
        <v>14</v>
      </c>
      <c r="E34" s="2">
        <v>73</v>
      </c>
      <c r="F34" s="2">
        <v>92</v>
      </c>
      <c r="G34" s="2">
        <v>97</v>
      </c>
      <c r="H34" s="2">
        <v>97</v>
      </c>
      <c r="I34" s="2">
        <v>99.2</v>
      </c>
      <c r="J34" s="2" t="s">
        <v>251</v>
      </c>
      <c r="K34" s="2" t="s">
        <v>305</v>
      </c>
      <c r="L34" s="2" t="s">
        <v>306</v>
      </c>
    </row>
    <row r="35" spans="1:12" x14ac:dyDescent="0.3">
      <c r="A35" s="2" t="s">
        <v>310</v>
      </c>
      <c r="B35" s="2">
        <v>92</v>
      </c>
      <c r="C35" s="2">
        <v>2</v>
      </c>
      <c r="D35" s="2">
        <v>12</v>
      </c>
      <c r="E35" s="2">
        <v>76</v>
      </c>
      <c r="F35" s="2">
        <v>94</v>
      </c>
      <c r="G35" s="2">
        <v>97</v>
      </c>
      <c r="H35" s="2">
        <v>98</v>
      </c>
      <c r="I35" s="2">
        <v>99.4</v>
      </c>
      <c r="J35" s="2" t="s">
        <v>251</v>
      </c>
      <c r="K35" s="2" t="s">
        <v>305</v>
      </c>
      <c r="L35" s="2" t="s">
        <v>306</v>
      </c>
    </row>
    <row r="36" spans="1:12" ht="28.8" x14ac:dyDescent="0.3">
      <c r="A36" s="2" t="s">
        <v>311</v>
      </c>
      <c r="B36" s="2">
        <v>92.5</v>
      </c>
      <c r="C36" s="2">
        <v>2</v>
      </c>
      <c r="D36" s="2">
        <v>11</v>
      </c>
      <c r="E36" s="2">
        <v>78</v>
      </c>
      <c r="F36" s="2">
        <v>96</v>
      </c>
      <c r="G36" s="2">
        <v>97.5</v>
      </c>
      <c r="H36" s="2">
        <v>98.1</v>
      </c>
      <c r="I36" s="2">
        <v>99.5</v>
      </c>
      <c r="J36" s="2" t="s">
        <v>312</v>
      </c>
      <c r="K36" s="2" t="s">
        <v>305</v>
      </c>
      <c r="L36" s="2" t="s">
        <v>306</v>
      </c>
    </row>
    <row r="39" spans="1:12" ht="24" customHeight="1" x14ac:dyDescent="0.3">
      <c r="A39" s="16" t="s">
        <v>313</v>
      </c>
      <c r="B39" s="13"/>
      <c r="C39" s="13"/>
      <c r="D39" s="13"/>
      <c r="E39" s="13"/>
      <c r="F39" s="13"/>
      <c r="G39" s="13"/>
      <c r="H39" s="13"/>
      <c r="I39" s="13"/>
      <c r="J39" s="13"/>
      <c r="K39" s="13"/>
      <c r="L39" s="13"/>
    </row>
    <row r="40" spans="1:12" ht="28.05" customHeight="1" x14ac:dyDescent="0.3">
      <c r="A40" s="1" t="s">
        <v>171</v>
      </c>
      <c r="B40" s="1" t="s">
        <v>101</v>
      </c>
      <c r="C40" s="1" t="s">
        <v>247</v>
      </c>
      <c r="D40" s="1" t="s">
        <v>314</v>
      </c>
      <c r="E40" s="1" t="s">
        <v>135</v>
      </c>
      <c r="F40" s="1" t="s">
        <v>285</v>
      </c>
      <c r="G40" s="1" t="s">
        <v>37</v>
      </c>
      <c r="H40" s="1" t="s">
        <v>249</v>
      </c>
      <c r="I40" s="1" t="s">
        <v>100</v>
      </c>
      <c r="J40" s="1" t="s">
        <v>315</v>
      </c>
      <c r="K40" s="1" t="s">
        <v>39</v>
      </c>
      <c r="L40" s="1" t="s">
        <v>250</v>
      </c>
    </row>
    <row r="41" spans="1:12" ht="43.2" x14ac:dyDescent="0.3">
      <c r="A41" s="2" t="s">
        <v>147</v>
      </c>
      <c r="B41" s="2" t="s">
        <v>150</v>
      </c>
      <c r="C41" s="2" t="s">
        <v>151</v>
      </c>
      <c r="D41" s="2" t="s">
        <v>316</v>
      </c>
      <c r="E41" s="2" t="s">
        <v>317</v>
      </c>
      <c r="F41" s="2" t="s">
        <v>318</v>
      </c>
      <c r="G41" s="2" t="s">
        <v>260</v>
      </c>
      <c r="H41" s="2" t="s">
        <v>261</v>
      </c>
      <c r="I41" s="2" t="s">
        <v>154</v>
      </c>
      <c r="J41" s="2" t="s">
        <v>319</v>
      </c>
      <c r="K41" s="2" t="s">
        <v>320</v>
      </c>
      <c r="L41" s="2" t="s">
        <v>321</v>
      </c>
    </row>
    <row r="42" spans="1:12" ht="28.8" x14ac:dyDescent="0.3">
      <c r="A42" s="2" t="s">
        <v>157</v>
      </c>
      <c r="B42" s="2" t="s">
        <v>111</v>
      </c>
      <c r="C42" s="2" t="s">
        <v>322</v>
      </c>
      <c r="D42" s="2" t="s">
        <v>323</v>
      </c>
      <c r="E42" s="2" t="s">
        <v>324</v>
      </c>
      <c r="F42" s="2" t="s">
        <v>325</v>
      </c>
      <c r="G42" s="2" t="s">
        <v>326</v>
      </c>
      <c r="H42" s="2" t="s">
        <v>327</v>
      </c>
      <c r="I42" s="2" t="s">
        <v>144</v>
      </c>
      <c r="J42" s="2" t="s">
        <v>328</v>
      </c>
      <c r="K42" s="2" t="s">
        <v>329</v>
      </c>
      <c r="L42" s="2" t="s">
        <v>158</v>
      </c>
    </row>
    <row r="43" spans="1:12" ht="28.8" x14ac:dyDescent="0.3">
      <c r="A43" s="2" t="s">
        <v>140</v>
      </c>
      <c r="B43" s="2" t="s">
        <v>111</v>
      </c>
      <c r="C43" s="2" t="s">
        <v>330</v>
      </c>
      <c r="D43" s="2" t="s">
        <v>331</v>
      </c>
      <c r="E43" s="2" t="s">
        <v>143</v>
      </c>
      <c r="F43" s="2" t="s">
        <v>332</v>
      </c>
      <c r="G43" s="2" t="s">
        <v>50</v>
      </c>
      <c r="H43" s="2" t="s">
        <v>112</v>
      </c>
      <c r="I43" s="2" t="s">
        <v>144</v>
      </c>
      <c r="J43" s="2" t="s">
        <v>91</v>
      </c>
      <c r="K43" s="2" t="s">
        <v>333</v>
      </c>
      <c r="L43" s="2" t="s">
        <v>114</v>
      </c>
    </row>
    <row r="47" spans="1:12" ht="24" customHeight="1" x14ac:dyDescent="0.3">
      <c r="A47" s="16" t="s">
        <v>334</v>
      </c>
      <c r="B47" s="13"/>
      <c r="C47" s="13"/>
      <c r="D47" s="13"/>
      <c r="E47" s="13"/>
      <c r="F47" s="13"/>
      <c r="G47" s="13"/>
      <c r="H47" s="13"/>
      <c r="I47" s="13"/>
      <c r="J47" s="13"/>
      <c r="K47" s="13"/>
      <c r="L47" s="13"/>
    </row>
    <row r="48" spans="1:12" ht="28.05" customHeight="1" x14ac:dyDescent="0.3">
      <c r="A48" s="1" t="s">
        <v>335</v>
      </c>
      <c r="B48" s="1" t="s">
        <v>336</v>
      </c>
      <c r="C48" s="1" t="s">
        <v>337</v>
      </c>
      <c r="D48" s="1" t="s">
        <v>136</v>
      </c>
      <c r="E48" s="1" t="s">
        <v>199</v>
      </c>
      <c r="F48" s="1" t="s">
        <v>338</v>
      </c>
      <c r="G48" s="1" t="s">
        <v>339</v>
      </c>
      <c r="H48" s="1" t="s">
        <v>100</v>
      </c>
      <c r="I48" s="1" t="s">
        <v>39</v>
      </c>
      <c r="J48" s="1" t="s">
        <v>340</v>
      </c>
      <c r="K48" s="1" t="s">
        <v>250</v>
      </c>
      <c r="L48" s="1" t="s">
        <v>205</v>
      </c>
    </row>
    <row r="49" spans="1:12" ht="28.8" x14ac:dyDescent="0.3">
      <c r="A49" s="2" t="s">
        <v>341</v>
      </c>
      <c r="B49" s="2" t="s">
        <v>342</v>
      </c>
      <c r="C49" s="2" t="s">
        <v>260</v>
      </c>
      <c r="D49" s="2" t="s">
        <v>261</v>
      </c>
      <c r="E49" s="2" t="s">
        <v>150</v>
      </c>
      <c r="F49" s="2" t="s">
        <v>147</v>
      </c>
      <c r="G49" s="2" t="s">
        <v>343</v>
      </c>
      <c r="H49" s="2" t="s">
        <v>154</v>
      </c>
      <c r="I49" s="2"/>
      <c r="J49" s="2" t="s">
        <v>344</v>
      </c>
      <c r="K49" s="2" t="s">
        <v>345</v>
      </c>
      <c r="L49" s="2"/>
    </row>
    <row r="50" spans="1:12" ht="43.2" x14ac:dyDescent="0.3">
      <c r="A50" s="2" t="s">
        <v>346</v>
      </c>
      <c r="B50" s="2" t="s">
        <v>347</v>
      </c>
      <c r="C50" s="2" t="s">
        <v>326</v>
      </c>
      <c r="D50" s="2" t="s">
        <v>327</v>
      </c>
      <c r="E50" s="2" t="s">
        <v>111</v>
      </c>
      <c r="F50" s="2" t="s">
        <v>157</v>
      </c>
      <c r="G50" s="2" t="s">
        <v>348</v>
      </c>
      <c r="H50" s="2" t="s">
        <v>144</v>
      </c>
      <c r="I50" s="2"/>
      <c r="J50" s="2" t="s">
        <v>344</v>
      </c>
      <c r="K50" s="2" t="s">
        <v>158</v>
      </c>
      <c r="L50" s="2"/>
    </row>
    <row r="51" spans="1:12" ht="28.8" x14ac:dyDescent="0.3">
      <c r="A51" s="2" t="s">
        <v>349</v>
      </c>
      <c r="B51" s="2" t="s">
        <v>350</v>
      </c>
      <c r="C51" s="2" t="s">
        <v>254</v>
      </c>
      <c r="D51" s="2" t="s">
        <v>270</v>
      </c>
      <c r="E51" s="2" t="s">
        <v>111</v>
      </c>
      <c r="F51" s="2" t="s">
        <v>351</v>
      </c>
      <c r="G51" s="2" t="s">
        <v>352</v>
      </c>
      <c r="H51" s="2" t="s">
        <v>144</v>
      </c>
      <c r="I51" s="2"/>
      <c r="J51" s="2" t="s">
        <v>353</v>
      </c>
      <c r="K51" s="2" t="s">
        <v>354</v>
      </c>
      <c r="L51" s="2"/>
    </row>
    <row r="55" spans="1:12" ht="24" customHeight="1" x14ac:dyDescent="0.3">
      <c r="A55" s="16" t="s">
        <v>355</v>
      </c>
      <c r="B55" s="13"/>
      <c r="C55" s="13"/>
      <c r="D55" s="13"/>
      <c r="E55" s="13"/>
      <c r="F55" s="13"/>
      <c r="G55" s="13"/>
      <c r="H55" s="13"/>
      <c r="I55" s="13"/>
      <c r="J55" s="13"/>
      <c r="K55" s="13"/>
      <c r="L55" s="13"/>
    </row>
    <row r="56" spans="1:12" ht="28.8" x14ac:dyDescent="0.3">
      <c r="A56" s="2" t="s">
        <v>356</v>
      </c>
      <c r="B56" s="2" t="s">
        <v>231</v>
      </c>
      <c r="C56" s="2" t="s">
        <v>357</v>
      </c>
      <c r="D56" s="2" t="s">
        <v>358</v>
      </c>
      <c r="E56" s="2" t="s">
        <v>359</v>
      </c>
      <c r="F56" s="2" t="s">
        <v>360</v>
      </c>
      <c r="G56" s="2" t="s">
        <v>6</v>
      </c>
      <c r="H56" s="2" t="s">
        <v>18</v>
      </c>
      <c r="I56" s="2" t="s">
        <v>361</v>
      </c>
      <c r="J56" s="2" t="s">
        <v>112</v>
      </c>
      <c r="K56" s="2" t="s">
        <v>222</v>
      </c>
      <c r="L56" s="2" t="s">
        <v>362</v>
      </c>
    </row>
  </sheetData>
  <mergeCells count="18">
    <mergeCell ref="D10:E10"/>
    <mergeCell ref="G10:H10"/>
    <mergeCell ref="A55:L55"/>
    <mergeCell ref="A12:L12"/>
    <mergeCell ref="A4:L4"/>
    <mergeCell ref="J9:K9"/>
    <mergeCell ref="A1:L1"/>
    <mergeCell ref="A10:B10"/>
    <mergeCell ref="J10:K10"/>
    <mergeCell ref="A47:L47"/>
    <mergeCell ref="A8:L8"/>
    <mergeCell ref="A9:B9"/>
    <mergeCell ref="G9:H9"/>
    <mergeCell ref="D9:E9"/>
    <mergeCell ref="A39:L39"/>
    <mergeCell ref="A2:L2"/>
    <mergeCell ref="A21:L21"/>
    <mergeCell ref="A29:L29"/>
  </mergeCells>
  <pageMargins left="0.25" right="0.25" top="0.5" bottom="0.5" header="0.5" footer="0.5"/>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00BD-5E5D-6C48-8FE2-C8B1FFE5CEBC}">
  <dimension ref="A1:M58"/>
  <sheetViews>
    <sheetView tabSelected="1" workbookViewId="0">
      <selection activeCell="D64" sqref="D64"/>
    </sheetView>
  </sheetViews>
  <sheetFormatPr defaultColWidth="8.77734375" defaultRowHeight="14.4" x14ac:dyDescent="0.3"/>
  <cols>
    <col min="1" max="1" width="8" style="31" customWidth="1"/>
    <col min="2" max="2" width="30" style="31" customWidth="1"/>
    <col min="3" max="3" width="55" style="31" customWidth="1"/>
    <col min="4" max="4" width="75" style="31" customWidth="1"/>
    <col min="5" max="5" width="48" style="31" customWidth="1"/>
    <col min="6" max="6" width="42" style="31" customWidth="1"/>
    <col min="7" max="7" width="48" style="31" customWidth="1"/>
    <col min="8" max="8" width="28" style="31" customWidth="1"/>
    <col min="9" max="10" width="48" style="31" customWidth="1"/>
    <col min="11" max="12" width="28" style="31" customWidth="1"/>
    <col min="13" max="16384" width="8.77734375" style="31"/>
  </cols>
  <sheetData>
    <row r="1" spans="1:12" customFormat="1" ht="21" x14ac:dyDescent="0.4">
      <c r="A1" s="24" t="s">
        <v>588</v>
      </c>
      <c r="B1" s="25"/>
      <c r="C1" s="25"/>
      <c r="D1" s="25"/>
      <c r="E1" s="25"/>
      <c r="F1" s="25"/>
      <c r="G1" s="25"/>
      <c r="H1" s="25"/>
      <c r="I1" s="25"/>
      <c r="J1" s="25"/>
      <c r="K1" s="25"/>
      <c r="L1" s="26"/>
    </row>
    <row r="2" spans="1:12" customFormat="1" x14ac:dyDescent="0.3">
      <c r="A2" s="27" t="s">
        <v>589</v>
      </c>
      <c r="B2" s="25"/>
      <c r="C2" s="25"/>
      <c r="D2" s="25"/>
      <c r="E2" s="25"/>
      <c r="F2" s="25"/>
      <c r="G2" s="25"/>
      <c r="H2" s="25"/>
      <c r="I2" s="25"/>
      <c r="J2" s="25"/>
      <c r="K2" s="25"/>
      <c r="L2" s="26"/>
    </row>
    <row r="3" spans="1:12" customFormat="1" x14ac:dyDescent="0.3">
      <c r="A3" s="3" t="s">
        <v>590</v>
      </c>
      <c r="B3" s="4"/>
      <c r="C3" s="5"/>
      <c r="D3" s="4"/>
      <c r="E3" s="4"/>
      <c r="F3" s="4"/>
      <c r="G3" s="4"/>
      <c r="H3" s="4"/>
      <c r="I3" s="4"/>
      <c r="J3" s="4"/>
      <c r="K3" s="4"/>
      <c r="L3" s="4"/>
    </row>
    <row r="4" spans="1:12" customFormat="1" x14ac:dyDescent="0.3">
      <c r="A4" s="6" t="s">
        <v>591</v>
      </c>
      <c r="B4" s="6" t="s">
        <v>592</v>
      </c>
      <c r="C4" s="7" t="s">
        <v>593</v>
      </c>
      <c r="D4" s="6" t="s">
        <v>594</v>
      </c>
      <c r="E4" s="6" t="s">
        <v>595</v>
      </c>
      <c r="F4" s="6" t="s">
        <v>596</v>
      </c>
      <c r="G4" s="6" t="s">
        <v>410</v>
      </c>
      <c r="H4" s="6" t="s">
        <v>597</v>
      </c>
      <c r="I4" s="6" t="s">
        <v>598</v>
      </c>
      <c r="J4" s="6" t="s">
        <v>599</v>
      </c>
      <c r="K4" s="6" t="s">
        <v>600</v>
      </c>
      <c r="L4" s="6" t="s">
        <v>601</v>
      </c>
    </row>
    <row r="5" spans="1:12" customFormat="1" ht="43.2" x14ac:dyDescent="0.3">
      <c r="A5" s="8">
        <v>2</v>
      </c>
      <c r="B5" s="8" t="s">
        <v>602</v>
      </c>
      <c r="C5" s="9" t="s">
        <v>603</v>
      </c>
      <c r="D5" s="8" t="s">
        <v>604</v>
      </c>
      <c r="E5" s="8" t="s">
        <v>605</v>
      </c>
      <c r="F5" s="8" t="s">
        <v>606</v>
      </c>
      <c r="G5" s="8" t="s">
        <v>607</v>
      </c>
      <c r="H5" s="8" t="s">
        <v>608</v>
      </c>
      <c r="I5" s="8" t="s">
        <v>609</v>
      </c>
      <c r="J5" s="8" t="s">
        <v>610</v>
      </c>
      <c r="K5" s="8" t="s">
        <v>611</v>
      </c>
      <c r="L5" s="8" t="s">
        <v>612</v>
      </c>
    </row>
    <row r="6" spans="1:12" customFormat="1" ht="43.2" x14ac:dyDescent="0.3">
      <c r="A6" s="8">
        <v>3</v>
      </c>
      <c r="B6" s="8" t="s">
        <v>613</v>
      </c>
      <c r="C6" s="9" t="s">
        <v>614</v>
      </c>
      <c r="D6" s="8" t="s">
        <v>615</v>
      </c>
      <c r="E6" s="8" t="s">
        <v>616</v>
      </c>
      <c r="F6" s="8" t="s">
        <v>617</v>
      </c>
      <c r="G6" s="8" t="s">
        <v>618</v>
      </c>
      <c r="H6" s="8" t="s">
        <v>608</v>
      </c>
      <c r="I6" s="8" t="s">
        <v>619</v>
      </c>
      <c r="J6" s="8" t="s">
        <v>620</v>
      </c>
      <c r="K6" s="8" t="s">
        <v>621</v>
      </c>
      <c r="L6" s="8" t="s">
        <v>612</v>
      </c>
    </row>
    <row r="7" spans="1:12" customFormat="1" ht="43.2" x14ac:dyDescent="0.3">
      <c r="A7" s="8">
        <v>4</v>
      </c>
      <c r="B7" s="8" t="s">
        <v>622</v>
      </c>
      <c r="C7" s="9" t="s">
        <v>623</v>
      </c>
      <c r="D7" s="8" t="s">
        <v>624</v>
      </c>
      <c r="E7" s="8" t="s">
        <v>625</v>
      </c>
      <c r="F7" s="8" t="s">
        <v>626</v>
      </c>
      <c r="G7" s="8" t="s">
        <v>627</v>
      </c>
      <c r="H7" s="8" t="s">
        <v>608</v>
      </c>
      <c r="I7" s="8" t="s">
        <v>628</v>
      </c>
      <c r="J7" s="8" t="s">
        <v>629</v>
      </c>
      <c r="K7" s="8" t="s">
        <v>630</v>
      </c>
      <c r="L7" s="8" t="s">
        <v>612</v>
      </c>
    </row>
    <row r="8" spans="1:12" customFormat="1" ht="43.2" x14ac:dyDescent="0.3">
      <c r="A8" s="8">
        <v>5</v>
      </c>
      <c r="B8" s="8" t="s">
        <v>631</v>
      </c>
      <c r="C8" s="9" t="s">
        <v>632</v>
      </c>
      <c r="D8" s="8" t="s">
        <v>633</v>
      </c>
      <c r="E8" s="8" t="s">
        <v>634</v>
      </c>
      <c r="F8" s="8" t="s">
        <v>635</v>
      </c>
      <c r="G8" s="8" t="s">
        <v>636</v>
      </c>
      <c r="H8" s="8" t="s">
        <v>608</v>
      </c>
      <c r="I8" s="8" t="s">
        <v>637</v>
      </c>
      <c r="J8" s="8" t="s">
        <v>638</v>
      </c>
      <c r="K8" s="8" t="s">
        <v>639</v>
      </c>
      <c r="L8" s="8" t="s">
        <v>612</v>
      </c>
    </row>
    <row r="9" spans="1:12" customFormat="1" ht="43.2" x14ac:dyDescent="0.3">
      <c r="A9" s="8">
        <v>6</v>
      </c>
      <c r="B9" s="8" t="s">
        <v>640</v>
      </c>
      <c r="C9" s="9" t="s">
        <v>641</v>
      </c>
      <c r="D9" s="8" t="s">
        <v>642</v>
      </c>
      <c r="E9" s="8" t="s">
        <v>643</v>
      </c>
      <c r="F9" s="8" t="s">
        <v>644</v>
      </c>
      <c r="G9" s="8" t="s">
        <v>645</v>
      </c>
      <c r="H9" s="8" t="s">
        <v>608</v>
      </c>
      <c r="I9" s="8" t="s">
        <v>646</v>
      </c>
      <c r="J9" s="8" t="s">
        <v>647</v>
      </c>
      <c r="K9" s="8" t="s">
        <v>648</v>
      </c>
      <c r="L9" s="8" t="s">
        <v>612</v>
      </c>
    </row>
    <row r="10" spans="1:12" customFormat="1" ht="43.2" x14ac:dyDescent="0.3">
      <c r="A10" s="8">
        <v>7</v>
      </c>
      <c r="B10" s="8" t="s">
        <v>649</v>
      </c>
      <c r="C10" s="9" t="s">
        <v>650</v>
      </c>
      <c r="D10" s="8" t="s">
        <v>651</v>
      </c>
      <c r="E10" s="8" t="s">
        <v>652</v>
      </c>
      <c r="F10" s="8" t="s">
        <v>653</v>
      </c>
      <c r="G10" s="8" t="s">
        <v>654</v>
      </c>
      <c r="H10" s="8" t="s">
        <v>608</v>
      </c>
      <c r="I10" s="8" t="s">
        <v>655</v>
      </c>
      <c r="J10" s="8" t="s">
        <v>656</v>
      </c>
      <c r="K10" s="8" t="s">
        <v>657</v>
      </c>
      <c r="L10" s="8" t="s">
        <v>612</v>
      </c>
    </row>
    <row r="11" spans="1:12" customFormat="1" ht="43.2" x14ac:dyDescent="0.3">
      <c r="A11" s="8">
        <v>8</v>
      </c>
      <c r="B11" s="8" t="s">
        <v>658</v>
      </c>
      <c r="C11" s="9" t="s">
        <v>659</v>
      </c>
      <c r="D11" s="8" t="s">
        <v>660</v>
      </c>
      <c r="E11" s="8" t="s">
        <v>661</v>
      </c>
      <c r="F11" s="8" t="s">
        <v>662</v>
      </c>
      <c r="G11" s="8" t="s">
        <v>663</v>
      </c>
      <c r="H11" s="8" t="s">
        <v>608</v>
      </c>
      <c r="I11" s="8" t="s">
        <v>664</v>
      </c>
      <c r="J11" s="8" t="s">
        <v>665</v>
      </c>
      <c r="K11" s="8" t="s">
        <v>666</v>
      </c>
      <c r="L11" s="8" t="s">
        <v>612</v>
      </c>
    </row>
    <row r="12" spans="1:12" customFormat="1" ht="43.2" x14ac:dyDescent="0.3">
      <c r="A12" s="8">
        <v>9</v>
      </c>
      <c r="B12" s="8" t="s">
        <v>667</v>
      </c>
      <c r="C12" s="9" t="s">
        <v>668</v>
      </c>
      <c r="D12" s="8" t="s">
        <v>669</v>
      </c>
      <c r="E12" s="8" t="s">
        <v>670</v>
      </c>
      <c r="F12" s="8" t="s">
        <v>671</v>
      </c>
      <c r="G12" s="8" t="s">
        <v>672</v>
      </c>
      <c r="H12" s="8" t="s">
        <v>608</v>
      </c>
      <c r="I12" s="8" t="s">
        <v>673</v>
      </c>
      <c r="J12" s="8" t="s">
        <v>674</v>
      </c>
      <c r="K12" s="8" t="s">
        <v>666</v>
      </c>
      <c r="L12" s="8" t="s">
        <v>612</v>
      </c>
    </row>
    <row r="13" spans="1:12" customFormat="1" ht="43.2" x14ac:dyDescent="0.3">
      <c r="A13" s="8">
        <v>10</v>
      </c>
      <c r="B13" s="8" t="s">
        <v>675</v>
      </c>
      <c r="C13" s="9" t="s">
        <v>676</v>
      </c>
      <c r="D13" s="8" t="s">
        <v>677</v>
      </c>
      <c r="E13" s="8" t="s">
        <v>678</v>
      </c>
      <c r="F13" s="8" t="s">
        <v>679</v>
      </c>
      <c r="G13" s="8" t="s">
        <v>680</v>
      </c>
      <c r="H13" s="8" t="s">
        <v>608</v>
      </c>
      <c r="I13" s="8" t="s">
        <v>681</v>
      </c>
      <c r="J13" s="8" t="s">
        <v>682</v>
      </c>
      <c r="K13" s="8" t="s">
        <v>666</v>
      </c>
      <c r="L13" s="8" t="s">
        <v>683</v>
      </c>
    </row>
    <row r="14" spans="1:12" customFormat="1" ht="43.2" x14ac:dyDescent="0.3">
      <c r="A14" s="8">
        <v>11</v>
      </c>
      <c r="B14" s="8" t="s">
        <v>684</v>
      </c>
      <c r="C14" s="9" t="s">
        <v>685</v>
      </c>
      <c r="D14" s="8" t="s">
        <v>686</v>
      </c>
      <c r="E14" s="8" t="s">
        <v>687</v>
      </c>
      <c r="F14" s="8" t="s">
        <v>688</v>
      </c>
      <c r="G14" s="8" t="s">
        <v>689</v>
      </c>
      <c r="H14" s="8" t="s">
        <v>608</v>
      </c>
      <c r="I14" s="8" t="s">
        <v>690</v>
      </c>
      <c r="J14" s="8" t="s">
        <v>691</v>
      </c>
      <c r="K14" s="8" t="s">
        <v>692</v>
      </c>
      <c r="L14" s="8" t="s">
        <v>612</v>
      </c>
    </row>
    <row r="15" spans="1:12" customFormat="1" ht="43.2" x14ac:dyDescent="0.3">
      <c r="A15" s="8">
        <v>12</v>
      </c>
      <c r="B15" s="8" t="s">
        <v>693</v>
      </c>
      <c r="C15" s="9" t="s">
        <v>694</v>
      </c>
      <c r="D15" s="8" t="s">
        <v>695</v>
      </c>
      <c r="E15" s="8" t="s">
        <v>696</v>
      </c>
      <c r="F15" s="8" t="s">
        <v>697</v>
      </c>
      <c r="G15" s="8" t="s">
        <v>698</v>
      </c>
      <c r="H15" s="8" t="s">
        <v>608</v>
      </c>
      <c r="I15" s="8" t="s">
        <v>699</v>
      </c>
      <c r="J15" s="8" t="s">
        <v>700</v>
      </c>
      <c r="K15" s="8" t="s">
        <v>701</v>
      </c>
      <c r="L15" s="8" t="s">
        <v>702</v>
      </c>
    </row>
    <row r="16" spans="1:12" customFormat="1" ht="43.2" x14ac:dyDescent="0.3">
      <c r="A16" s="8">
        <v>13</v>
      </c>
      <c r="B16" s="8" t="s">
        <v>703</v>
      </c>
      <c r="C16" s="9" t="s">
        <v>704</v>
      </c>
      <c r="D16" s="8" t="s">
        <v>705</v>
      </c>
      <c r="E16" s="8" t="s">
        <v>706</v>
      </c>
      <c r="F16" s="8" t="s">
        <v>707</v>
      </c>
      <c r="G16" s="8" t="s">
        <v>708</v>
      </c>
      <c r="H16" s="8" t="s">
        <v>608</v>
      </c>
      <c r="I16" s="8" t="s">
        <v>709</v>
      </c>
      <c r="J16" s="8" t="s">
        <v>710</v>
      </c>
      <c r="K16" s="8" t="s">
        <v>711</v>
      </c>
      <c r="L16" s="8" t="s">
        <v>712</v>
      </c>
    </row>
    <row r="17" spans="1:13" customFormat="1" ht="43.2" x14ac:dyDescent="0.3">
      <c r="A17" s="8">
        <v>14</v>
      </c>
      <c r="B17" s="8" t="s">
        <v>713</v>
      </c>
      <c r="C17" s="9" t="s">
        <v>714</v>
      </c>
      <c r="D17" s="8" t="s">
        <v>715</v>
      </c>
      <c r="E17" s="8" t="s">
        <v>716</v>
      </c>
      <c r="F17" s="8" t="s">
        <v>717</v>
      </c>
      <c r="G17" s="8" t="s">
        <v>718</v>
      </c>
      <c r="H17" s="8" t="s">
        <v>608</v>
      </c>
      <c r="I17" s="8" t="s">
        <v>719</v>
      </c>
      <c r="J17" s="8" t="s">
        <v>720</v>
      </c>
      <c r="K17" s="8" t="s">
        <v>721</v>
      </c>
      <c r="L17" s="8" t="s">
        <v>612</v>
      </c>
    </row>
    <row r="18" spans="1:13" customFormat="1" ht="28.8" x14ac:dyDescent="0.3">
      <c r="A18" s="8">
        <v>15</v>
      </c>
      <c r="B18" s="8" t="s">
        <v>722</v>
      </c>
      <c r="C18" s="9" t="s">
        <v>723</v>
      </c>
      <c r="D18" s="8" t="s">
        <v>724</v>
      </c>
      <c r="E18" s="8" t="s">
        <v>725</v>
      </c>
      <c r="F18" s="8" t="s">
        <v>726</v>
      </c>
      <c r="G18" s="8" t="s">
        <v>727</v>
      </c>
      <c r="H18" s="8" t="s">
        <v>608</v>
      </c>
      <c r="I18" s="8" t="s">
        <v>728</v>
      </c>
      <c r="J18" s="8" t="s">
        <v>729</v>
      </c>
      <c r="K18" s="8" t="s">
        <v>721</v>
      </c>
      <c r="L18" s="8" t="s">
        <v>612</v>
      </c>
    </row>
    <row r="19" spans="1:13" customFormat="1" ht="43.2" x14ac:dyDescent="0.3">
      <c r="A19" s="8">
        <v>16</v>
      </c>
      <c r="B19" s="8" t="s">
        <v>730</v>
      </c>
      <c r="C19" s="9" t="s">
        <v>731</v>
      </c>
      <c r="D19" s="8" t="s">
        <v>732</v>
      </c>
      <c r="E19" s="8" t="s">
        <v>733</v>
      </c>
      <c r="F19" s="8" t="s">
        <v>734</v>
      </c>
      <c r="G19" s="8" t="s">
        <v>735</v>
      </c>
      <c r="H19" s="8" t="s">
        <v>608</v>
      </c>
      <c r="I19" s="8" t="s">
        <v>736</v>
      </c>
      <c r="J19" s="8" t="s">
        <v>737</v>
      </c>
      <c r="K19" s="8" t="s">
        <v>621</v>
      </c>
      <c r="L19" s="8" t="s">
        <v>612</v>
      </c>
    </row>
    <row r="20" spans="1:13" customFormat="1" ht="43.2" x14ac:dyDescent="0.3">
      <c r="A20" s="8">
        <v>17</v>
      </c>
      <c r="B20" s="8" t="s">
        <v>738</v>
      </c>
      <c r="C20" s="9" t="s">
        <v>739</v>
      </c>
      <c r="D20" s="8" t="s">
        <v>740</v>
      </c>
      <c r="E20" s="8" t="s">
        <v>741</v>
      </c>
      <c r="F20" s="8" t="s">
        <v>742</v>
      </c>
      <c r="G20" s="8" t="s">
        <v>743</v>
      </c>
      <c r="H20" s="8" t="s">
        <v>608</v>
      </c>
      <c r="I20" s="8" t="s">
        <v>744</v>
      </c>
      <c r="J20" s="8" t="s">
        <v>745</v>
      </c>
      <c r="K20" s="8" t="s">
        <v>746</v>
      </c>
      <c r="L20" s="8" t="s">
        <v>747</v>
      </c>
    </row>
    <row r="21" spans="1:13" customFormat="1" ht="43.2" x14ac:dyDescent="0.3">
      <c r="A21" s="8">
        <v>18</v>
      </c>
      <c r="B21" s="8" t="s">
        <v>748</v>
      </c>
      <c r="C21" s="9" t="s">
        <v>749</v>
      </c>
      <c r="D21" s="8" t="s">
        <v>750</v>
      </c>
      <c r="E21" s="8" t="s">
        <v>751</v>
      </c>
      <c r="F21" s="8" t="s">
        <v>752</v>
      </c>
      <c r="G21" s="8" t="s">
        <v>753</v>
      </c>
      <c r="H21" s="8" t="s">
        <v>608</v>
      </c>
      <c r="I21" s="8" t="s">
        <v>754</v>
      </c>
      <c r="J21" s="8" t="s">
        <v>755</v>
      </c>
      <c r="K21" s="8" t="s">
        <v>747</v>
      </c>
      <c r="L21" s="8" t="s">
        <v>612</v>
      </c>
    </row>
    <row r="22" spans="1:13" customFormat="1" ht="43.2" x14ac:dyDescent="0.3">
      <c r="A22" s="8">
        <v>19</v>
      </c>
      <c r="B22" s="8" t="s">
        <v>756</v>
      </c>
      <c r="C22" s="9" t="s">
        <v>757</v>
      </c>
      <c r="D22" s="8" t="s">
        <v>758</v>
      </c>
      <c r="E22" s="8" t="s">
        <v>759</v>
      </c>
      <c r="F22" s="8" t="s">
        <v>760</v>
      </c>
      <c r="G22" s="8" t="s">
        <v>761</v>
      </c>
      <c r="H22" s="8" t="s">
        <v>608</v>
      </c>
      <c r="I22" s="8" t="s">
        <v>762</v>
      </c>
      <c r="J22" s="8" t="s">
        <v>763</v>
      </c>
      <c r="K22" s="8" t="s">
        <v>764</v>
      </c>
      <c r="L22" s="8" t="s">
        <v>712</v>
      </c>
    </row>
    <row r="23" spans="1:13" customFormat="1" ht="43.2" x14ac:dyDescent="0.3">
      <c r="A23" s="8">
        <v>20</v>
      </c>
      <c r="B23" s="8" t="s">
        <v>765</v>
      </c>
      <c r="C23" s="9" t="s">
        <v>766</v>
      </c>
      <c r="D23" s="8" t="s">
        <v>767</v>
      </c>
      <c r="E23" s="8" t="s">
        <v>768</v>
      </c>
      <c r="F23" s="8" t="s">
        <v>769</v>
      </c>
      <c r="G23" s="8" t="s">
        <v>770</v>
      </c>
      <c r="H23" s="8" t="s">
        <v>608</v>
      </c>
      <c r="I23" s="8" t="s">
        <v>771</v>
      </c>
      <c r="J23" s="8" t="s">
        <v>772</v>
      </c>
      <c r="K23" s="8" t="s">
        <v>773</v>
      </c>
      <c r="L23" s="8" t="s">
        <v>774</v>
      </c>
    </row>
    <row r="24" spans="1:13" customFormat="1" ht="43.2" x14ac:dyDescent="0.3">
      <c r="A24" s="8">
        <v>21</v>
      </c>
      <c r="B24" s="8" t="s">
        <v>775</v>
      </c>
      <c r="C24" s="9" t="s">
        <v>776</v>
      </c>
      <c r="D24" s="8" t="s">
        <v>777</v>
      </c>
      <c r="E24" s="8" t="s">
        <v>778</v>
      </c>
      <c r="F24" s="8" t="s">
        <v>779</v>
      </c>
      <c r="G24" s="8" t="s">
        <v>780</v>
      </c>
      <c r="H24" s="8" t="s">
        <v>608</v>
      </c>
      <c r="I24" s="8" t="s">
        <v>781</v>
      </c>
      <c r="J24" s="8" t="s">
        <v>782</v>
      </c>
      <c r="K24" s="8" t="s">
        <v>621</v>
      </c>
      <c r="L24" s="8" t="s">
        <v>783</v>
      </c>
    </row>
    <row r="25" spans="1:13" customFormat="1" ht="43.2" x14ac:dyDescent="0.3">
      <c r="A25" s="8">
        <v>22</v>
      </c>
      <c r="B25" s="8" t="s">
        <v>784</v>
      </c>
      <c r="C25" s="9" t="s">
        <v>785</v>
      </c>
      <c r="D25" s="8" t="s">
        <v>786</v>
      </c>
      <c r="E25" s="8" t="s">
        <v>787</v>
      </c>
      <c r="F25" s="8" t="s">
        <v>788</v>
      </c>
      <c r="G25" s="8" t="s">
        <v>789</v>
      </c>
      <c r="H25" s="8" t="s">
        <v>608</v>
      </c>
      <c r="I25" s="8" t="s">
        <v>790</v>
      </c>
      <c r="J25" s="8" t="s">
        <v>791</v>
      </c>
      <c r="K25" s="8" t="s">
        <v>792</v>
      </c>
      <c r="L25" s="8" t="s">
        <v>793</v>
      </c>
    </row>
    <row r="26" spans="1:13" customFormat="1" ht="43.2" x14ac:dyDescent="0.3">
      <c r="A26" s="8">
        <v>23</v>
      </c>
      <c r="B26" s="8" t="s">
        <v>794</v>
      </c>
      <c r="C26" s="9" t="s">
        <v>795</v>
      </c>
      <c r="D26" s="8" t="s">
        <v>796</v>
      </c>
      <c r="E26" s="8" t="s">
        <v>797</v>
      </c>
      <c r="F26" s="8" t="s">
        <v>798</v>
      </c>
      <c r="G26" s="8" t="s">
        <v>799</v>
      </c>
      <c r="H26" s="8" t="s">
        <v>608</v>
      </c>
      <c r="I26" s="8" t="s">
        <v>800</v>
      </c>
      <c r="J26" s="8" t="s">
        <v>801</v>
      </c>
      <c r="K26" s="8" t="s">
        <v>802</v>
      </c>
      <c r="L26" s="8" t="s">
        <v>803</v>
      </c>
    </row>
    <row r="27" spans="1:13" customFormat="1" ht="57.6" x14ac:dyDescent="0.3">
      <c r="A27" s="8">
        <v>24</v>
      </c>
      <c r="B27" s="30" t="s">
        <v>945</v>
      </c>
      <c r="C27" s="30" t="s">
        <v>946</v>
      </c>
      <c r="D27" s="30" t="s">
        <v>947</v>
      </c>
      <c r="E27" s="30" t="s">
        <v>948</v>
      </c>
      <c r="F27" s="30" t="s">
        <v>949</v>
      </c>
      <c r="G27" s="30" t="s">
        <v>950</v>
      </c>
      <c r="H27" s="30" t="s">
        <v>608</v>
      </c>
      <c r="I27" s="30" t="s">
        <v>951</v>
      </c>
      <c r="J27" s="30" t="s">
        <v>952</v>
      </c>
      <c r="K27" s="30" t="s">
        <v>611</v>
      </c>
      <c r="L27" s="30" t="s">
        <v>612</v>
      </c>
    </row>
    <row r="28" spans="1:13" customFormat="1" ht="43.2" x14ac:dyDescent="0.3">
      <c r="A28" s="8">
        <v>25</v>
      </c>
      <c r="B28" s="30" t="s">
        <v>953</v>
      </c>
      <c r="C28" s="30" t="s">
        <v>954</v>
      </c>
      <c r="D28" s="30" t="s">
        <v>955</v>
      </c>
      <c r="E28" s="30" t="s">
        <v>956</v>
      </c>
      <c r="F28" s="30" t="s">
        <v>957</v>
      </c>
      <c r="G28" s="30" t="s">
        <v>958</v>
      </c>
      <c r="H28" s="30" t="s">
        <v>608</v>
      </c>
      <c r="I28" s="30" t="s">
        <v>959</v>
      </c>
      <c r="J28" s="30" t="s">
        <v>960</v>
      </c>
      <c r="K28" s="30" t="s">
        <v>611</v>
      </c>
      <c r="L28" s="30" t="s">
        <v>612</v>
      </c>
    </row>
    <row r="29" spans="1:13" customFormat="1" ht="57.6" x14ac:dyDescent="0.3">
      <c r="A29" s="8">
        <v>26</v>
      </c>
      <c r="B29" s="30" t="s">
        <v>961</v>
      </c>
      <c r="C29" s="30" t="s">
        <v>962</v>
      </c>
      <c r="D29" s="30" t="s">
        <v>963</v>
      </c>
      <c r="E29" s="30" t="s">
        <v>964</v>
      </c>
      <c r="F29" s="30" t="s">
        <v>626</v>
      </c>
      <c r="G29" s="30" t="s">
        <v>965</v>
      </c>
      <c r="H29" s="30" t="s">
        <v>608</v>
      </c>
      <c r="I29" s="30" t="s">
        <v>966</v>
      </c>
      <c r="J29" s="30" t="s">
        <v>967</v>
      </c>
      <c r="K29" s="30" t="s">
        <v>630</v>
      </c>
      <c r="L29" s="30" t="s">
        <v>612</v>
      </c>
    </row>
    <row r="30" spans="1:13" customFormat="1" ht="43.2" x14ac:dyDescent="0.3">
      <c r="A30" s="8">
        <v>27</v>
      </c>
      <c r="B30" s="30" t="s">
        <v>968</v>
      </c>
      <c r="C30" s="30" t="s">
        <v>969</v>
      </c>
      <c r="D30" s="30" t="s">
        <v>970</v>
      </c>
      <c r="E30" s="30" t="s">
        <v>971</v>
      </c>
      <c r="F30" s="30" t="s">
        <v>626</v>
      </c>
      <c r="G30" s="30" t="s">
        <v>627</v>
      </c>
      <c r="H30" s="30" t="s">
        <v>608</v>
      </c>
      <c r="I30" s="30" t="s">
        <v>628</v>
      </c>
      <c r="J30" s="30" t="s">
        <v>972</v>
      </c>
      <c r="K30" s="30" t="s">
        <v>630</v>
      </c>
      <c r="L30" s="30" t="s">
        <v>612</v>
      </c>
      <c r="M30" s="29" t="s">
        <v>601</v>
      </c>
    </row>
    <row r="31" spans="1:13" customFormat="1" ht="43.2" x14ac:dyDescent="0.3">
      <c r="A31" s="8">
        <v>28</v>
      </c>
      <c r="B31" s="30" t="s">
        <v>973</v>
      </c>
      <c r="C31" s="30" t="s">
        <v>974</v>
      </c>
      <c r="D31" s="30" t="s">
        <v>975</v>
      </c>
      <c r="E31" s="30" t="s">
        <v>976</v>
      </c>
      <c r="F31" s="30" t="s">
        <v>626</v>
      </c>
      <c r="G31" s="30" t="s">
        <v>977</v>
      </c>
      <c r="H31" s="30" t="s">
        <v>608</v>
      </c>
      <c r="I31" s="30" t="s">
        <v>978</v>
      </c>
      <c r="J31" s="30" t="s">
        <v>979</v>
      </c>
      <c r="K31" s="30" t="s">
        <v>630</v>
      </c>
      <c r="L31" s="30" t="s">
        <v>612</v>
      </c>
    </row>
    <row r="32" spans="1:13" customFormat="1" ht="28.8" x14ac:dyDescent="0.3">
      <c r="A32" s="8">
        <v>29</v>
      </c>
      <c r="B32" s="30" t="s">
        <v>980</v>
      </c>
      <c r="C32" s="30" t="s">
        <v>981</v>
      </c>
      <c r="D32" s="30" t="s">
        <v>982</v>
      </c>
      <c r="E32" s="30" t="s">
        <v>983</v>
      </c>
      <c r="F32" s="30" t="s">
        <v>984</v>
      </c>
      <c r="G32" s="30" t="s">
        <v>985</v>
      </c>
      <c r="H32" s="30" t="s">
        <v>608</v>
      </c>
      <c r="I32" s="30" t="s">
        <v>986</v>
      </c>
      <c r="J32" s="30" t="s">
        <v>987</v>
      </c>
      <c r="K32" s="30" t="s">
        <v>621</v>
      </c>
      <c r="L32" s="30" t="s">
        <v>612</v>
      </c>
    </row>
    <row r="33" spans="1:12" customFormat="1" ht="28.8" x14ac:dyDescent="0.3">
      <c r="A33" s="8">
        <v>30</v>
      </c>
      <c r="B33" s="30" t="s">
        <v>988</v>
      </c>
      <c r="C33" s="30" t="s">
        <v>989</v>
      </c>
      <c r="D33" s="30" t="s">
        <v>990</v>
      </c>
      <c r="E33" s="30" t="s">
        <v>991</v>
      </c>
      <c r="F33" s="30" t="s">
        <v>992</v>
      </c>
      <c r="G33" s="30" t="s">
        <v>993</v>
      </c>
      <c r="H33" s="30" t="s">
        <v>608</v>
      </c>
      <c r="I33" s="30" t="s">
        <v>994</v>
      </c>
      <c r="J33" s="30" t="s">
        <v>995</v>
      </c>
      <c r="K33" s="30" t="s">
        <v>621</v>
      </c>
      <c r="L33" s="30" t="s">
        <v>612</v>
      </c>
    </row>
    <row r="34" spans="1:12" customFormat="1" ht="28.8" x14ac:dyDescent="0.3">
      <c r="A34" s="8">
        <v>31</v>
      </c>
      <c r="B34" s="30" t="s">
        <v>996</v>
      </c>
      <c r="C34" s="30" t="s">
        <v>997</v>
      </c>
      <c r="D34" s="30" t="s">
        <v>998</v>
      </c>
      <c r="E34" s="30" t="s">
        <v>999</v>
      </c>
      <c r="F34" s="30" t="s">
        <v>626</v>
      </c>
      <c r="G34" s="30" t="s">
        <v>1000</v>
      </c>
      <c r="H34" s="30" t="s">
        <v>608</v>
      </c>
      <c r="I34" s="30" t="s">
        <v>1001</v>
      </c>
      <c r="J34" s="30" t="s">
        <v>1002</v>
      </c>
      <c r="K34" s="30" t="s">
        <v>630</v>
      </c>
      <c r="L34" s="30" t="s">
        <v>612</v>
      </c>
    </row>
    <row r="35" spans="1:12" customFormat="1" ht="28.8" x14ac:dyDescent="0.3">
      <c r="A35" s="8">
        <v>32</v>
      </c>
      <c r="B35" s="30" t="s">
        <v>1003</v>
      </c>
      <c r="C35" s="30" t="s">
        <v>1004</v>
      </c>
      <c r="D35" s="30" t="s">
        <v>1005</v>
      </c>
      <c r="E35" s="30" t="s">
        <v>1006</v>
      </c>
      <c r="F35" s="30" t="s">
        <v>1007</v>
      </c>
      <c r="G35" s="30" t="s">
        <v>1008</v>
      </c>
      <c r="H35" s="30" t="s">
        <v>608</v>
      </c>
      <c r="I35" s="30" t="s">
        <v>1009</v>
      </c>
      <c r="J35" s="30" t="s">
        <v>1010</v>
      </c>
      <c r="K35" s="30" t="s">
        <v>648</v>
      </c>
      <c r="L35" s="30" t="s">
        <v>612</v>
      </c>
    </row>
    <row r="36" spans="1:12" customFormat="1" ht="28.8" x14ac:dyDescent="0.3">
      <c r="A36" s="8">
        <v>33</v>
      </c>
      <c r="B36" s="30" t="s">
        <v>1011</v>
      </c>
      <c r="C36" s="30" t="s">
        <v>1012</v>
      </c>
      <c r="D36" s="30" t="s">
        <v>1013</v>
      </c>
      <c r="E36" s="30" t="s">
        <v>1014</v>
      </c>
      <c r="F36" s="30" t="s">
        <v>1015</v>
      </c>
      <c r="G36" s="30" t="s">
        <v>1016</v>
      </c>
      <c r="H36" s="30" t="s">
        <v>608</v>
      </c>
      <c r="I36" s="30" t="s">
        <v>1017</v>
      </c>
      <c r="J36" s="30" t="s">
        <v>1018</v>
      </c>
      <c r="K36" s="30" t="s">
        <v>648</v>
      </c>
      <c r="L36" s="30" t="s">
        <v>612</v>
      </c>
    </row>
    <row r="37" spans="1:12" customFormat="1" ht="43.2" x14ac:dyDescent="0.3">
      <c r="A37" s="8">
        <v>34</v>
      </c>
      <c r="B37" s="30" t="s">
        <v>1019</v>
      </c>
      <c r="C37" s="30" t="s">
        <v>1020</v>
      </c>
      <c r="D37" s="30" t="s">
        <v>1021</v>
      </c>
      <c r="E37" s="30" t="s">
        <v>1022</v>
      </c>
      <c r="F37" s="30" t="s">
        <v>626</v>
      </c>
      <c r="G37" s="30" t="s">
        <v>1023</v>
      </c>
      <c r="H37" s="30" t="s">
        <v>608</v>
      </c>
      <c r="I37" s="30" t="s">
        <v>1024</v>
      </c>
      <c r="J37" s="30" t="s">
        <v>1025</v>
      </c>
      <c r="K37" s="30" t="s">
        <v>630</v>
      </c>
      <c r="L37" s="30" t="s">
        <v>612</v>
      </c>
    </row>
    <row r="38" spans="1:12" customFormat="1" ht="43.2" x14ac:dyDescent="0.3">
      <c r="A38" s="8">
        <v>35</v>
      </c>
      <c r="B38" s="30" t="s">
        <v>1026</v>
      </c>
      <c r="C38" s="30" t="s">
        <v>1027</v>
      </c>
      <c r="D38" s="30" t="s">
        <v>1028</v>
      </c>
      <c r="E38" s="30" t="s">
        <v>1029</v>
      </c>
      <c r="F38" s="30" t="s">
        <v>1030</v>
      </c>
      <c r="G38" s="30" t="s">
        <v>1031</v>
      </c>
      <c r="H38" s="30" t="s">
        <v>608</v>
      </c>
      <c r="I38" s="30" t="s">
        <v>1032</v>
      </c>
      <c r="J38" s="30" t="s">
        <v>1033</v>
      </c>
      <c r="K38" s="30" t="s">
        <v>1034</v>
      </c>
      <c r="L38" s="30" t="s">
        <v>612</v>
      </c>
    </row>
    <row r="39" spans="1:12" customFormat="1" ht="28.8" x14ac:dyDescent="0.3">
      <c r="A39" s="8">
        <v>36</v>
      </c>
      <c r="B39" s="30" t="s">
        <v>1035</v>
      </c>
      <c r="C39" s="30" t="s">
        <v>1036</v>
      </c>
      <c r="D39" s="30" t="s">
        <v>1037</v>
      </c>
      <c r="E39" s="30" t="s">
        <v>1038</v>
      </c>
      <c r="F39" s="30" t="s">
        <v>1039</v>
      </c>
      <c r="G39" s="30" t="s">
        <v>1040</v>
      </c>
      <c r="H39" s="30" t="s">
        <v>608</v>
      </c>
      <c r="I39" s="30" t="s">
        <v>1041</v>
      </c>
      <c r="J39" s="30" t="s">
        <v>1042</v>
      </c>
      <c r="K39" s="30" t="s">
        <v>1043</v>
      </c>
      <c r="L39" s="30" t="s">
        <v>612</v>
      </c>
    </row>
    <row r="40" spans="1:12" customFormat="1" ht="28.8" x14ac:dyDescent="0.3">
      <c r="A40" s="8">
        <v>37</v>
      </c>
      <c r="B40" s="30" t="s">
        <v>1044</v>
      </c>
      <c r="C40" s="30" t="s">
        <v>1045</v>
      </c>
      <c r="D40" s="30" t="s">
        <v>1046</v>
      </c>
      <c r="E40" s="30" t="s">
        <v>1047</v>
      </c>
      <c r="F40" s="30" t="s">
        <v>1048</v>
      </c>
      <c r="G40" s="30" t="s">
        <v>1049</v>
      </c>
      <c r="H40" s="30" t="s">
        <v>608</v>
      </c>
      <c r="I40" s="30" t="s">
        <v>1050</v>
      </c>
      <c r="J40" s="30" t="s">
        <v>1051</v>
      </c>
      <c r="K40" s="30" t="s">
        <v>1043</v>
      </c>
      <c r="L40" s="30" t="s">
        <v>612</v>
      </c>
    </row>
    <row r="41" spans="1:12" customFormat="1" ht="28.8" x14ac:dyDescent="0.3">
      <c r="A41" s="8">
        <v>38</v>
      </c>
      <c r="B41" s="30" t="s">
        <v>1052</v>
      </c>
      <c r="C41" s="30" t="s">
        <v>1053</v>
      </c>
      <c r="D41" s="30" t="s">
        <v>1054</v>
      </c>
      <c r="E41" s="30" t="s">
        <v>1055</v>
      </c>
      <c r="F41" s="30" t="s">
        <v>1056</v>
      </c>
      <c r="G41" s="30" t="s">
        <v>1057</v>
      </c>
      <c r="H41" s="30" t="s">
        <v>608</v>
      </c>
      <c r="I41" s="30" t="s">
        <v>1058</v>
      </c>
      <c r="J41" s="30" t="s">
        <v>1059</v>
      </c>
      <c r="K41" s="30" t="s">
        <v>1034</v>
      </c>
      <c r="L41" s="30" t="s">
        <v>612</v>
      </c>
    </row>
    <row r="42" spans="1:12" customFormat="1" ht="28.8" x14ac:dyDescent="0.3">
      <c r="A42" s="8">
        <v>39</v>
      </c>
      <c r="B42" s="30" t="s">
        <v>1060</v>
      </c>
      <c r="C42" s="30" t="s">
        <v>1061</v>
      </c>
      <c r="D42" s="30" t="s">
        <v>1062</v>
      </c>
      <c r="E42" s="30" t="s">
        <v>1063</v>
      </c>
      <c r="F42" s="30" t="s">
        <v>1064</v>
      </c>
      <c r="G42" s="30" t="s">
        <v>1065</v>
      </c>
      <c r="H42" s="30" t="s">
        <v>608</v>
      </c>
      <c r="I42" s="30" t="s">
        <v>1066</v>
      </c>
      <c r="J42" s="30" t="s">
        <v>1067</v>
      </c>
      <c r="K42" s="30" t="s">
        <v>1034</v>
      </c>
      <c r="L42" s="30" t="s">
        <v>612</v>
      </c>
    </row>
    <row r="43" spans="1:12" customFormat="1" ht="28.8" x14ac:dyDescent="0.3">
      <c r="A43" s="8">
        <v>40</v>
      </c>
      <c r="B43" s="30" t="s">
        <v>1068</v>
      </c>
      <c r="C43" s="30" t="s">
        <v>1069</v>
      </c>
      <c r="D43" s="30" t="s">
        <v>1070</v>
      </c>
      <c r="E43" s="30" t="s">
        <v>1071</v>
      </c>
      <c r="F43" s="30" t="s">
        <v>1072</v>
      </c>
      <c r="G43" s="30" t="s">
        <v>1073</v>
      </c>
      <c r="H43" s="30" t="s">
        <v>608</v>
      </c>
      <c r="I43" s="30" t="s">
        <v>1074</v>
      </c>
      <c r="J43" s="30" t="s">
        <v>1075</v>
      </c>
      <c r="K43" s="30" t="s">
        <v>1034</v>
      </c>
      <c r="L43" s="30" t="s">
        <v>612</v>
      </c>
    </row>
    <row r="44" spans="1:12" customFormat="1" ht="28.8" x14ac:dyDescent="0.3">
      <c r="A44" s="8">
        <v>41</v>
      </c>
      <c r="B44" s="30" t="s">
        <v>1076</v>
      </c>
      <c r="C44" s="30" t="s">
        <v>1077</v>
      </c>
      <c r="D44" s="30" t="s">
        <v>1078</v>
      </c>
      <c r="E44" s="30" t="s">
        <v>1079</v>
      </c>
      <c r="F44" s="30" t="s">
        <v>1080</v>
      </c>
      <c r="G44" s="30" t="s">
        <v>1081</v>
      </c>
      <c r="H44" s="30" t="s">
        <v>608</v>
      </c>
      <c r="I44" s="30" t="s">
        <v>1082</v>
      </c>
      <c r="J44" s="30" t="s">
        <v>1083</v>
      </c>
      <c r="K44" s="30" t="s">
        <v>1034</v>
      </c>
      <c r="L44" s="30" t="s">
        <v>612</v>
      </c>
    </row>
    <row r="45" spans="1:12" customFormat="1" ht="28.8" x14ac:dyDescent="0.3">
      <c r="A45" s="8">
        <v>42</v>
      </c>
      <c r="B45" s="30" t="s">
        <v>1084</v>
      </c>
      <c r="C45" s="30" t="s">
        <v>1085</v>
      </c>
      <c r="D45" s="30" t="s">
        <v>1086</v>
      </c>
      <c r="E45" s="30" t="s">
        <v>1087</v>
      </c>
      <c r="F45" s="30" t="s">
        <v>1088</v>
      </c>
      <c r="G45" s="30" t="s">
        <v>1089</v>
      </c>
      <c r="H45" s="30" t="s">
        <v>608</v>
      </c>
      <c r="I45" s="30" t="s">
        <v>1090</v>
      </c>
      <c r="J45" s="30" t="s">
        <v>1091</v>
      </c>
      <c r="K45" s="30" t="s">
        <v>1092</v>
      </c>
      <c r="L45" s="30" t="s">
        <v>612</v>
      </c>
    </row>
    <row r="46" spans="1:12" customFormat="1" ht="28.8" x14ac:dyDescent="0.3">
      <c r="A46" s="8">
        <v>43</v>
      </c>
      <c r="B46" s="30" t="s">
        <v>1093</v>
      </c>
      <c r="C46" s="30" t="s">
        <v>1094</v>
      </c>
      <c r="D46" s="30" t="s">
        <v>1095</v>
      </c>
      <c r="E46" s="30" t="s">
        <v>1096</v>
      </c>
      <c r="F46" s="30" t="s">
        <v>1097</v>
      </c>
      <c r="G46" s="30" t="s">
        <v>1098</v>
      </c>
      <c r="H46" s="30" t="s">
        <v>608</v>
      </c>
      <c r="I46" s="30" t="s">
        <v>1099</v>
      </c>
      <c r="J46" s="30" t="s">
        <v>1100</v>
      </c>
      <c r="K46" s="30" t="s">
        <v>1092</v>
      </c>
      <c r="L46" s="30" t="s">
        <v>612</v>
      </c>
    </row>
    <row r="47" spans="1:12" customFormat="1" ht="28.8" x14ac:dyDescent="0.3">
      <c r="A47" s="8">
        <v>44</v>
      </c>
      <c r="B47" s="30" t="s">
        <v>1101</v>
      </c>
      <c r="C47" s="30" t="s">
        <v>1102</v>
      </c>
      <c r="D47" s="30" t="s">
        <v>1103</v>
      </c>
      <c r="E47" s="30" t="s">
        <v>1104</v>
      </c>
      <c r="F47" s="30" t="s">
        <v>1105</v>
      </c>
      <c r="G47" s="30" t="s">
        <v>1106</v>
      </c>
      <c r="H47" s="30" t="s">
        <v>608</v>
      </c>
      <c r="I47" s="30" t="s">
        <v>1107</v>
      </c>
      <c r="J47" s="30" t="s">
        <v>1108</v>
      </c>
      <c r="K47" s="30" t="s">
        <v>1092</v>
      </c>
      <c r="L47" s="30" t="s">
        <v>612</v>
      </c>
    </row>
    <row r="48" spans="1:12" customFormat="1" ht="28.8" x14ac:dyDescent="0.3">
      <c r="A48" s="8">
        <v>45</v>
      </c>
      <c r="B48" s="30" t="s">
        <v>1109</v>
      </c>
      <c r="C48" s="30" t="s">
        <v>1110</v>
      </c>
      <c r="D48" s="30" t="s">
        <v>1111</v>
      </c>
      <c r="E48" s="30" t="s">
        <v>1112</v>
      </c>
      <c r="F48" s="30" t="s">
        <v>1088</v>
      </c>
      <c r="G48" s="30" t="s">
        <v>1113</v>
      </c>
      <c r="H48" s="30" t="s">
        <v>608</v>
      </c>
      <c r="I48" s="30" t="s">
        <v>1114</v>
      </c>
      <c r="J48" s="30" t="s">
        <v>1115</v>
      </c>
      <c r="K48" s="30" t="s">
        <v>1116</v>
      </c>
      <c r="L48" s="30" t="s">
        <v>612</v>
      </c>
    </row>
    <row r="49" spans="1:12" customFormat="1" ht="43.2" x14ac:dyDescent="0.3">
      <c r="A49" s="8">
        <v>46</v>
      </c>
      <c r="B49" s="30" t="s">
        <v>1117</v>
      </c>
      <c r="C49" s="30" t="s">
        <v>1118</v>
      </c>
      <c r="D49" s="30" t="s">
        <v>1119</v>
      </c>
      <c r="E49" s="30" t="s">
        <v>1120</v>
      </c>
      <c r="F49" s="30" t="s">
        <v>1121</v>
      </c>
      <c r="G49" s="30" t="s">
        <v>1122</v>
      </c>
      <c r="H49" s="30" t="s">
        <v>608</v>
      </c>
      <c r="I49" s="30" t="s">
        <v>1123</v>
      </c>
      <c r="J49" s="30" t="s">
        <v>1124</v>
      </c>
      <c r="K49" s="30" t="s">
        <v>1116</v>
      </c>
      <c r="L49" s="30" t="s">
        <v>612</v>
      </c>
    </row>
    <row r="50" spans="1:12" customFormat="1" ht="28.8" x14ac:dyDescent="0.3">
      <c r="A50" s="8">
        <v>47</v>
      </c>
      <c r="B50" s="30" t="s">
        <v>1125</v>
      </c>
      <c r="C50" s="30" t="s">
        <v>1126</v>
      </c>
      <c r="D50" s="30" t="s">
        <v>1127</v>
      </c>
      <c r="E50" s="30" t="s">
        <v>1128</v>
      </c>
      <c r="F50" s="30" t="s">
        <v>1129</v>
      </c>
      <c r="G50" s="30" t="s">
        <v>1130</v>
      </c>
      <c r="H50" s="30" t="s">
        <v>608</v>
      </c>
      <c r="I50" s="30" t="s">
        <v>1131</v>
      </c>
      <c r="J50" s="30" t="s">
        <v>1132</v>
      </c>
      <c r="K50" s="30" t="s">
        <v>1092</v>
      </c>
      <c r="L50" s="30" t="s">
        <v>612</v>
      </c>
    </row>
    <row r="51" spans="1:12" customFormat="1" ht="28.8" x14ac:dyDescent="0.3">
      <c r="A51" s="8">
        <v>48</v>
      </c>
      <c r="B51" s="30" t="s">
        <v>1133</v>
      </c>
      <c r="C51" s="30" t="s">
        <v>1134</v>
      </c>
      <c r="D51" s="30" t="s">
        <v>1135</v>
      </c>
      <c r="E51" s="30" t="s">
        <v>1136</v>
      </c>
      <c r="F51" s="30" t="s">
        <v>1030</v>
      </c>
      <c r="G51" s="30" t="s">
        <v>1137</v>
      </c>
      <c r="H51" s="30" t="s">
        <v>608</v>
      </c>
      <c r="I51" s="30" t="s">
        <v>1138</v>
      </c>
      <c r="J51" s="30" t="s">
        <v>1139</v>
      </c>
      <c r="K51" s="30" t="s">
        <v>648</v>
      </c>
      <c r="L51" s="30" t="s">
        <v>612</v>
      </c>
    </row>
    <row r="52" spans="1:12" customFormat="1" ht="28.8" x14ac:dyDescent="0.3">
      <c r="A52" s="8">
        <v>49</v>
      </c>
      <c r="B52" s="30" t="s">
        <v>1140</v>
      </c>
      <c r="C52" s="30" t="s">
        <v>1141</v>
      </c>
      <c r="D52" s="30" t="s">
        <v>1142</v>
      </c>
      <c r="E52" s="30" t="s">
        <v>1143</v>
      </c>
      <c r="F52" s="30" t="s">
        <v>1144</v>
      </c>
      <c r="G52" s="30" t="s">
        <v>1145</v>
      </c>
      <c r="H52" s="30" t="s">
        <v>608</v>
      </c>
      <c r="I52" s="30" t="s">
        <v>1146</v>
      </c>
      <c r="J52" s="30" t="s">
        <v>1147</v>
      </c>
      <c r="K52" s="30" t="s">
        <v>1034</v>
      </c>
      <c r="L52" s="30" t="s">
        <v>612</v>
      </c>
    </row>
    <row r="53" spans="1:12" customFormat="1" ht="28.8" x14ac:dyDescent="0.3">
      <c r="A53" s="8">
        <v>50</v>
      </c>
      <c r="B53" s="30" t="s">
        <v>1148</v>
      </c>
      <c r="C53" s="30" t="s">
        <v>1149</v>
      </c>
      <c r="D53" s="30" t="s">
        <v>1150</v>
      </c>
      <c r="E53" s="30" t="s">
        <v>1151</v>
      </c>
      <c r="F53" s="30" t="s">
        <v>1152</v>
      </c>
      <c r="G53" s="30" t="s">
        <v>1153</v>
      </c>
      <c r="H53" s="30" t="s">
        <v>608</v>
      </c>
      <c r="I53" s="30" t="s">
        <v>1154</v>
      </c>
      <c r="J53" s="30" t="s">
        <v>1155</v>
      </c>
      <c r="K53" s="30" t="s">
        <v>648</v>
      </c>
      <c r="L53" s="30" t="s">
        <v>612</v>
      </c>
    </row>
    <row r="54" spans="1:12" customFormat="1" ht="28.8" x14ac:dyDescent="0.3">
      <c r="A54" s="8">
        <v>51</v>
      </c>
      <c r="B54" s="30" t="s">
        <v>1156</v>
      </c>
      <c r="C54" s="30" t="s">
        <v>1157</v>
      </c>
      <c r="D54" s="30" t="s">
        <v>1158</v>
      </c>
      <c r="E54" s="30" t="s">
        <v>1159</v>
      </c>
      <c r="F54" s="30" t="s">
        <v>1160</v>
      </c>
      <c r="G54" s="30" t="s">
        <v>1161</v>
      </c>
      <c r="H54" s="30" t="s">
        <v>608</v>
      </c>
      <c r="I54" s="30" t="s">
        <v>1162</v>
      </c>
      <c r="J54" s="30" t="s">
        <v>1163</v>
      </c>
      <c r="K54" s="30" t="s">
        <v>621</v>
      </c>
      <c r="L54" s="30" t="s">
        <v>612</v>
      </c>
    </row>
    <row r="55" spans="1:12" customFormat="1" ht="28.8" x14ac:dyDescent="0.3">
      <c r="A55" s="8">
        <v>52</v>
      </c>
      <c r="B55" s="30" t="s">
        <v>1164</v>
      </c>
      <c r="C55" s="30" t="s">
        <v>1165</v>
      </c>
      <c r="D55" s="30" t="s">
        <v>1166</v>
      </c>
      <c r="E55" s="30" t="s">
        <v>1167</v>
      </c>
      <c r="F55" s="30" t="s">
        <v>1168</v>
      </c>
      <c r="G55" s="30" t="s">
        <v>1169</v>
      </c>
      <c r="H55" s="30" t="s">
        <v>608</v>
      </c>
      <c r="I55" s="30" t="s">
        <v>1170</v>
      </c>
      <c r="J55" s="30" t="s">
        <v>1171</v>
      </c>
      <c r="K55" s="30" t="s">
        <v>621</v>
      </c>
      <c r="L55" s="30" t="s">
        <v>612</v>
      </c>
    </row>
    <row r="56" spans="1:12" customFormat="1" ht="28.8" x14ac:dyDescent="0.3">
      <c r="A56" s="8">
        <v>53</v>
      </c>
      <c r="B56" s="30" t="s">
        <v>1172</v>
      </c>
      <c r="C56" s="30" t="s">
        <v>1173</v>
      </c>
      <c r="D56" s="30" t="s">
        <v>1174</v>
      </c>
      <c r="E56" s="30" t="s">
        <v>1175</v>
      </c>
      <c r="F56" s="30" t="s">
        <v>1176</v>
      </c>
      <c r="G56" s="30" t="s">
        <v>1177</v>
      </c>
      <c r="H56" s="30" t="s">
        <v>608</v>
      </c>
      <c r="I56" s="30" t="s">
        <v>1178</v>
      </c>
      <c r="J56" s="30" t="s">
        <v>1179</v>
      </c>
      <c r="K56" s="30" t="s">
        <v>621</v>
      </c>
      <c r="L56" s="30" t="s">
        <v>612</v>
      </c>
    </row>
    <row r="57" spans="1:12" customFormat="1" ht="28.8" x14ac:dyDescent="0.3">
      <c r="A57" s="8">
        <v>54</v>
      </c>
      <c r="B57" s="30" t="s">
        <v>1180</v>
      </c>
      <c r="C57" s="30" t="s">
        <v>1181</v>
      </c>
      <c r="D57" s="30" t="s">
        <v>1182</v>
      </c>
      <c r="E57" s="30" t="s">
        <v>1183</v>
      </c>
      <c r="F57" s="30" t="s">
        <v>1184</v>
      </c>
      <c r="G57" s="30" t="s">
        <v>1185</v>
      </c>
      <c r="H57" s="30" t="s">
        <v>608</v>
      </c>
      <c r="I57" s="30" t="s">
        <v>1186</v>
      </c>
      <c r="J57" s="30" t="s">
        <v>1187</v>
      </c>
      <c r="K57" s="30" t="s">
        <v>1180</v>
      </c>
      <c r="L57" s="30" t="s">
        <v>612</v>
      </c>
    </row>
    <row r="58" spans="1:12" customFormat="1" ht="28.8" x14ac:dyDescent="0.3">
      <c r="A58" s="8">
        <v>55</v>
      </c>
      <c r="B58" s="30" t="s">
        <v>1188</v>
      </c>
      <c r="C58" s="30" t="s">
        <v>1189</v>
      </c>
      <c r="D58" s="30" t="s">
        <v>1190</v>
      </c>
      <c r="E58" s="30" t="s">
        <v>1191</v>
      </c>
      <c r="F58" s="30" t="s">
        <v>1192</v>
      </c>
      <c r="G58" s="30" t="s">
        <v>1193</v>
      </c>
      <c r="H58" s="30" t="s">
        <v>608</v>
      </c>
      <c r="I58" s="30" t="s">
        <v>1194</v>
      </c>
      <c r="J58" s="30" t="s">
        <v>1195</v>
      </c>
      <c r="K58" s="30" t="s">
        <v>1034</v>
      </c>
      <c r="L58" s="30" t="s">
        <v>612</v>
      </c>
    </row>
  </sheetData>
  <mergeCells count="2">
    <mergeCell ref="A1:L1"/>
    <mergeCell ref="A2:L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87675-F06E-944D-B971-3EDD677A3ADC}">
  <dimension ref="A1:E9"/>
  <sheetViews>
    <sheetView workbookViewId="0">
      <selection activeCell="C39" sqref="C39"/>
    </sheetView>
  </sheetViews>
  <sheetFormatPr defaultColWidth="8.77734375" defaultRowHeight="14.4" x14ac:dyDescent="0.3"/>
  <cols>
    <col min="1" max="1" width="12" customWidth="1"/>
    <col min="2" max="2" width="30" customWidth="1"/>
    <col min="3" max="3" width="70" customWidth="1"/>
    <col min="4" max="4" width="55" customWidth="1"/>
    <col min="5" max="5" width="45" customWidth="1"/>
  </cols>
  <sheetData>
    <row r="1" spans="1:5" x14ac:dyDescent="0.3">
      <c r="A1" s="10" t="s">
        <v>804</v>
      </c>
      <c r="B1" s="10" t="s">
        <v>805</v>
      </c>
      <c r="C1" s="10" t="s">
        <v>806</v>
      </c>
      <c r="D1" s="10" t="s">
        <v>807</v>
      </c>
      <c r="E1" s="10" t="s">
        <v>808</v>
      </c>
    </row>
    <row r="2" spans="1:5" x14ac:dyDescent="0.3">
      <c r="A2" s="8" t="s">
        <v>809</v>
      </c>
      <c r="B2" s="8" t="s">
        <v>810</v>
      </c>
      <c r="C2" s="8" t="s">
        <v>811</v>
      </c>
      <c r="D2" s="8" t="s">
        <v>812</v>
      </c>
      <c r="E2" s="8" t="s">
        <v>813</v>
      </c>
    </row>
    <row r="3" spans="1:5" x14ac:dyDescent="0.3">
      <c r="A3" s="8" t="s">
        <v>814</v>
      </c>
      <c r="B3" s="8" t="s">
        <v>815</v>
      </c>
      <c r="C3" s="8" t="s">
        <v>816</v>
      </c>
      <c r="D3" s="8" t="s">
        <v>817</v>
      </c>
      <c r="E3" s="8" t="s">
        <v>818</v>
      </c>
    </row>
    <row r="4" spans="1:5" x14ac:dyDescent="0.3">
      <c r="A4" s="8" t="s">
        <v>819</v>
      </c>
      <c r="B4" s="8" t="s">
        <v>820</v>
      </c>
      <c r="C4" s="8" t="s">
        <v>821</v>
      </c>
      <c r="D4" s="8" t="s">
        <v>822</v>
      </c>
      <c r="E4" s="8" t="s">
        <v>823</v>
      </c>
    </row>
    <row r="5" spans="1:5" x14ac:dyDescent="0.3">
      <c r="A5" s="8" t="s">
        <v>824</v>
      </c>
      <c r="B5" s="8" t="s">
        <v>825</v>
      </c>
      <c r="C5" s="8" t="s">
        <v>826</v>
      </c>
      <c r="D5" s="8" t="s">
        <v>827</v>
      </c>
      <c r="E5" s="8" t="s">
        <v>828</v>
      </c>
    </row>
    <row r="6" spans="1:5" x14ac:dyDescent="0.3">
      <c r="A6" s="8" t="s">
        <v>829</v>
      </c>
      <c r="B6" s="8" t="s">
        <v>830</v>
      </c>
      <c r="C6" s="8" t="s">
        <v>831</v>
      </c>
      <c r="D6" s="8" t="s">
        <v>832</v>
      </c>
      <c r="E6" s="8" t="s">
        <v>833</v>
      </c>
    </row>
    <row r="7" spans="1:5" x14ac:dyDescent="0.3">
      <c r="A7" s="8" t="s">
        <v>834</v>
      </c>
      <c r="B7" s="8" t="s">
        <v>835</v>
      </c>
      <c r="C7" s="8" t="s">
        <v>836</v>
      </c>
      <c r="D7" s="8" t="s">
        <v>837</v>
      </c>
      <c r="E7" s="8" t="s">
        <v>838</v>
      </c>
    </row>
    <row r="8" spans="1:5" x14ac:dyDescent="0.3">
      <c r="A8" s="8" t="s">
        <v>839</v>
      </c>
      <c r="B8" s="8" t="s">
        <v>33</v>
      </c>
      <c r="C8" s="8" t="s">
        <v>840</v>
      </c>
      <c r="D8" s="8" t="s">
        <v>841</v>
      </c>
      <c r="E8" s="8" t="s">
        <v>842</v>
      </c>
    </row>
    <row r="9" spans="1:5" x14ac:dyDescent="0.3">
      <c r="A9" s="8" t="s">
        <v>843</v>
      </c>
      <c r="B9" s="8" t="s">
        <v>844</v>
      </c>
      <c r="C9" s="8" t="s">
        <v>845</v>
      </c>
      <c r="D9" s="8" t="s">
        <v>846</v>
      </c>
      <c r="E9" s="8" t="s">
        <v>847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9F52-2E4F-2940-923B-07698B3F2C2F}">
  <dimension ref="A1:D8"/>
  <sheetViews>
    <sheetView workbookViewId="0">
      <selection activeCell="D38" sqref="D38"/>
    </sheetView>
  </sheetViews>
  <sheetFormatPr defaultColWidth="8.77734375" defaultRowHeight="14.4" x14ac:dyDescent="0.3"/>
  <cols>
    <col min="1" max="1" width="35" customWidth="1"/>
    <col min="2" max="4" width="60" customWidth="1"/>
  </cols>
  <sheetData>
    <row r="1" spans="1:4" x14ac:dyDescent="0.3">
      <c r="A1" s="10" t="s">
        <v>892</v>
      </c>
      <c r="B1" s="10" t="s">
        <v>621</v>
      </c>
      <c r="C1" s="10" t="s">
        <v>893</v>
      </c>
      <c r="D1" s="10" t="s">
        <v>365</v>
      </c>
    </row>
    <row r="2" spans="1:4" x14ac:dyDescent="0.3">
      <c r="A2" s="8" t="s">
        <v>894</v>
      </c>
      <c r="B2" s="8" t="s">
        <v>895</v>
      </c>
      <c r="C2" s="8" t="s">
        <v>896</v>
      </c>
      <c r="D2" s="8" t="s">
        <v>897</v>
      </c>
    </row>
    <row r="3" spans="1:4" x14ac:dyDescent="0.3">
      <c r="A3" s="8" t="s">
        <v>898</v>
      </c>
      <c r="B3" s="8" t="s">
        <v>899</v>
      </c>
      <c r="C3" s="8" t="s">
        <v>900</v>
      </c>
      <c r="D3" s="8" t="s">
        <v>901</v>
      </c>
    </row>
    <row r="4" spans="1:4" x14ac:dyDescent="0.3">
      <c r="A4" s="8" t="s">
        <v>39</v>
      </c>
      <c r="B4" s="8" t="s">
        <v>902</v>
      </c>
      <c r="C4" s="8" t="s">
        <v>903</v>
      </c>
      <c r="D4" s="8" t="s">
        <v>904</v>
      </c>
    </row>
    <row r="5" spans="1:4" x14ac:dyDescent="0.3">
      <c r="A5" s="8" t="s">
        <v>468</v>
      </c>
      <c r="B5" s="8" t="s">
        <v>905</v>
      </c>
      <c r="C5" s="8" t="s">
        <v>906</v>
      </c>
      <c r="D5" s="8" t="s">
        <v>907</v>
      </c>
    </row>
    <row r="6" spans="1:4" x14ac:dyDescent="0.3">
      <c r="A6" s="8" t="s">
        <v>908</v>
      </c>
      <c r="B6" s="8" t="s">
        <v>909</v>
      </c>
      <c r="C6" s="8" t="s">
        <v>910</v>
      </c>
      <c r="D6" s="8" t="s">
        <v>911</v>
      </c>
    </row>
    <row r="7" spans="1:4" x14ac:dyDescent="0.3">
      <c r="A7" s="8" t="s">
        <v>912</v>
      </c>
      <c r="B7" s="8" t="s">
        <v>913</v>
      </c>
      <c r="C7" s="8" t="s">
        <v>914</v>
      </c>
      <c r="D7" s="8" t="s">
        <v>915</v>
      </c>
    </row>
    <row r="8" spans="1:4" x14ac:dyDescent="0.3">
      <c r="A8" s="8" t="s">
        <v>245</v>
      </c>
      <c r="B8" s="8" t="s">
        <v>916</v>
      </c>
      <c r="C8" s="8" t="s">
        <v>917</v>
      </c>
      <c r="D8" s="8" t="s">
        <v>918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DF908-86DB-534D-AFF2-9706207BD866}">
  <dimension ref="A1:N27"/>
  <sheetViews>
    <sheetView workbookViewId="0">
      <selection activeCell="Q19" sqref="Q19"/>
    </sheetView>
  </sheetViews>
  <sheetFormatPr defaultColWidth="8.77734375" defaultRowHeight="14.4" x14ac:dyDescent="0.3"/>
  <cols>
    <col min="1" max="1" width="34" customWidth="1"/>
    <col min="2" max="2" width="32" customWidth="1"/>
    <col min="3" max="10" width="14" customWidth="1"/>
    <col min="11" max="12" width="16" customWidth="1"/>
    <col min="13" max="14" width="14" customWidth="1"/>
  </cols>
  <sheetData>
    <row r="1" spans="1:14" ht="21" x14ac:dyDescent="0.4">
      <c r="A1" s="28" t="s">
        <v>919</v>
      </c>
      <c r="B1" s="13"/>
      <c r="C1" s="13"/>
      <c r="D1" s="13"/>
      <c r="E1" s="13"/>
      <c r="F1" s="13"/>
      <c r="G1" s="13"/>
      <c r="H1" s="13"/>
      <c r="I1" s="13"/>
      <c r="J1" s="13"/>
      <c r="K1" s="13"/>
      <c r="L1" s="13"/>
      <c r="M1" s="13"/>
      <c r="N1" s="13"/>
    </row>
    <row r="2" spans="1:14" x14ac:dyDescent="0.3">
      <c r="A2" s="27" t="s">
        <v>920</v>
      </c>
      <c r="B2" s="13"/>
      <c r="C2" s="13"/>
      <c r="D2" s="13"/>
      <c r="E2" s="13"/>
      <c r="F2" s="13"/>
      <c r="G2" s="13"/>
      <c r="H2" s="13"/>
      <c r="I2" s="13"/>
      <c r="J2" s="13"/>
      <c r="K2" s="13"/>
      <c r="L2" s="13"/>
      <c r="M2" s="13"/>
      <c r="N2" s="13"/>
    </row>
    <row r="4" spans="1:14" x14ac:dyDescent="0.3">
      <c r="A4" s="10" t="s">
        <v>3</v>
      </c>
      <c r="B4" s="10" t="s">
        <v>921</v>
      </c>
      <c r="C4" s="10" t="s">
        <v>30</v>
      </c>
      <c r="D4" s="10" t="s">
        <v>130</v>
      </c>
      <c r="E4" s="10" t="s">
        <v>809</v>
      </c>
      <c r="F4" s="10" t="s">
        <v>814</v>
      </c>
      <c r="G4" s="10" t="s">
        <v>819</v>
      </c>
      <c r="H4" s="10" t="s">
        <v>824</v>
      </c>
      <c r="I4" s="10" t="s">
        <v>829</v>
      </c>
      <c r="J4" s="10" t="s">
        <v>834</v>
      </c>
      <c r="K4" s="10" t="s">
        <v>922</v>
      </c>
      <c r="L4" s="10" t="s">
        <v>866</v>
      </c>
      <c r="M4" s="10" t="s">
        <v>870</v>
      </c>
      <c r="N4" s="10" t="s">
        <v>874</v>
      </c>
    </row>
    <row r="5" spans="1:14" x14ac:dyDescent="0.3">
      <c r="A5" s="8" t="s">
        <v>923</v>
      </c>
      <c r="B5" s="8" t="s">
        <v>173</v>
      </c>
      <c r="C5" s="8">
        <v>94</v>
      </c>
      <c r="D5" s="8">
        <v>94</v>
      </c>
      <c r="E5" s="8">
        <v>93</v>
      </c>
      <c r="F5" s="8">
        <v>1</v>
      </c>
      <c r="G5" s="8">
        <v>0</v>
      </c>
      <c r="H5" s="8">
        <v>0</v>
      </c>
      <c r="I5" s="8">
        <v>0</v>
      </c>
      <c r="J5" s="8">
        <v>1</v>
      </c>
      <c r="K5" s="11">
        <f t="shared" ref="K5:K27" si="0">IF(C5=0,0,D5/C5)</f>
        <v>1</v>
      </c>
      <c r="L5" s="11">
        <f t="shared" ref="L5:L27" si="1">IF(D5=0,0,(G5+H5+I5)/D5)</f>
        <v>0</v>
      </c>
      <c r="M5" s="11">
        <f t="shared" ref="M5:M27" si="2">IF(D5=0,0,I5/D5)</f>
        <v>0</v>
      </c>
      <c r="N5" s="11">
        <f t="shared" ref="N5:N27" si="3">IF(C5=0,0,J5/C5)</f>
        <v>1.0638297872340425E-2</v>
      </c>
    </row>
    <row r="6" spans="1:14" x14ac:dyDescent="0.3">
      <c r="A6" s="8" t="s">
        <v>602</v>
      </c>
      <c r="B6" s="8" t="s">
        <v>924</v>
      </c>
      <c r="C6" s="8">
        <v>126</v>
      </c>
      <c r="D6" s="8">
        <v>126</v>
      </c>
      <c r="E6" s="8">
        <v>121</v>
      </c>
      <c r="F6" s="8">
        <v>3</v>
      </c>
      <c r="G6" s="8">
        <v>2</v>
      </c>
      <c r="H6" s="8">
        <v>0</v>
      </c>
      <c r="I6" s="8">
        <v>0</v>
      </c>
      <c r="J6" s="8">
        <v>1</v>
      </c>
      <c r="K6" s="11">
        <f t="shared" si="0"/>
        <v>1</v>
      </c>
      <c r="L6" s="11">
        <f t="shared" si="1"/>
        <v>1.5873015873015872E-2</v>
      </c>
      <c r="M6" s="11">
        <f t="shared" si="2"/>
        <v>0</v>
      </c>
      <c r="N6" s="11">
        <f t="shared" si="3"/>
        <v>7.9365079365079361E-3</v>
      </c>
    </row>
    <row r="7" spans="1:14" x14ac:dyDescent="0.3">
      <c r="A7" s="8" t="s">
        <v>613</v>
      </c>
      <c r="B7" s="8" t="s">
        <v>925</v>
      </c>
      <c r="C7" s="8">
        <v>238</v>
      </c>
      <c r="D7" s="8">
        <v>238</v>
      </c>
      <c r="E7" s="8">
        <v>228</v>
      </c>
      <c r="F7" s="8">
        <v>4</v>
      </c>
      <c r="G7" s="8">
        <v>3</v>
      </c>
      <c r="H7" s="8">
        <v>1</v>
      </c>
      <c r="I7" s="8">
        <v>0</v>
      </c>
      <c r="J7" s="8">
        <v>2</v>
      </c>
      <c r="K7" s="11">
        <f t="shared" si="0"/>
        <v>1</v>
      </c>
      <c r="L7" s="11">
        <f t="shared" si="1"/>
        <v>1.680672268907563E-2</v>
      </c>
      <c r="M7" s="11">
        <f t="shared" si="2"/>
        <v>0</v>
      </c>
      <c r="N7" s="11">
        <f t="shared" si="3"/>
        <v>8.4033613445378148E-3</v>
      </c>
    </row>
    <row r="8" spans="1:14" x14ac:dyDescent="0.3">
      <c r="A8" s="8" t="s">
        <v>622</v>
      </c>
      <c r="B8" s="8" t="s">
        <v>283</v>
      </c>
      <c r="C8" s="8">
        <v>4773</v>
      </c>
      <c r="D8" s="8">
        <v>4773</v>
      </c>
      <c r="E8" s="8">
        <v>4420</v>
      </c>
      <c r="F8" s="8">
        <v>180</v>
      </c>
      <c r="G8" s="8">
        <v>90</v>
      </c>
      <c r="H8" s="8">
        <v>45</v>
      </c>
      <c r="I8" s="8">
        <v>18</v>
      </c>
      <c r="J8" s="8">
        <v>20</v>
      </c>
      <c r="K8" s="11">
        <f t="shared" si="0"/>
        <v>1</v>
      </c>
      <c r="L8" s="11">
        <f t="shared" si="1"/>
        <v>3.2055311125078569E-2</v>
      </c>
      <c r="M8" s="11">
        <f t="shared" si="2"/>
        <v>3.771213073538655E-3</v>
      </c>
      <c r="N8" s="11">
        <f t="shared" si="3"/>
        <v>4.1902367483762836E-3</v>
      </c>
    </row>
    <row r="9" spans="1:14" x14ac:dyDescent="0.3">
      <c r="A9" s="8" t="s">
        <v>631</v>
      </c>
      <c r="B9" s="8" t="s">
        <v>283</v>
      </c>
      <c r="C9" s="8">
        <v>4773</v>
      </c>
      <c r="D9" s="8">
        <v>4773</v>
      </c>
      <c r="E9" s="8">
        <v>4510</v>
      </c>
      <c r="F9" s="8">
        <v>160</v>
      </c>
      <c r="G9" s="8">
        <v>65</v>
      </c>
      <c r="H9" s="8">
        <v>25</v>
      </c>
      <c r="I9" s="8">
        <v>5</v>
      </c>
      <c r="J9" s="8">
        <v>8</v>
      </c>
      <c r="K9" s="11">
        <f t="shared" si="0"/>
        <v>1</v>
      </c>
      <c r="L9" s="11">
        <f t="shared" si="1"/>
        <v>1.9903624554787346E-2</v>
      </c>
      <c r="M9" s="11">
        <f t="shared" si="2"/>
        <v>1.0475591870940709E-3</v>
      </c>
      <c r="N9" s="11">
        <f t="shared" si="3"/>
        <v>1.6760946993505132E-3</v>
      </c>
    </row>
    <row r="10" spans="1:14" x14ac:dyDescent="0.3">
      <c r="A10" s="8" t="s">
        <v>640</v>
      </c>
      <c r="B10" s="8" t="s">
        <v>926</v>
      </c>
      <c r="C10" s="8">
        <v>5120</v>
      </c>
      <c r="D10" s="8">
        <v>5120</v>
      </c>
      <c r="E10" s="8">
        <v>4860</v>
      </c>
      <c r="F10" s="8">
        <v>145</v>
      </c>
      <c r="G10" s="8">
        <v>70</v>
      </c>
      <c r="H10" s="8">
        <v>30</v>
      </c>
      <c r="I10" s="8">
        <v>5</v>
      </c>
      <c r="J10" s="8">
        <v>10</v>
      </c>
      <c r="K10" s="11">
        <f t="shared" si="0"/>
        <v>1</v>
      </c>
      <c r="L10" s="11">
        <f t="shared" si="1"/>
        <v>2.05078125E-2</v>
      </c>
      <c r="M10" s="11">
        <f t="shared" si="2"/>
        <v>9.765625E-4</v>
      </c>
      <c r="N10" s="11">
        <f t="shared" si="3"/>
        <v>1.953125E-3</v>
      </c>
    </row>
    <row r="11" spans="1:14" x14ac:dyDescent="0.3">
      <c r="A11" s="8" t="s">
        <v>649</v>
      </c>
      <c r="B11" s="8" t="s">
        <v>927</v>
      </c>
      <c r="C11" s="8">
        <v>4850</v>
      </c>
      <c r="D11" s="8">
        <v>4850</v>
      </c>
      <c r="E11" s="8">
        <v>4615</v>
      </c>
      <c r="F11" s="8">
        <v>120</v>
      </c>
      <c r="G11" s="8">
        <v>55</v>
      </c>
      <c r="H11" s="8">
        <v>35</v>
      </c>
      <c r="I11" s="8">
        <v>5</v>
      </c>
      <c r="J11" s="8">
        <v>20</v>
      </c>
      <c r="K11" s="11">
        <f t="shared" si="0"/>
        <v>1</v>
      </c>
      <c r="L11" s="11">
        <f t="shared" si="1"/>
        <v>1.9587628865979381E-2</v>
      </c>
      <c r="M11" s="11">
        <f t="shared" si="2"/>
        <v>1.0309278350515464E-3</v>
      </c>
      <c r="N11" s="11">
        <f t="shared" si="3"/>
        <v>4.1237113402061857E-3</v>
      </c>
    </row>
    <row r="12" spans="1:14" x14ac:dyDescent="0.3">
      <c r="A12" s="8" t="s">
        <v>658</v>
      </c>
      <c r="B12" s="8" t="s">
        <v>928</v>
      </c>
      <c r="C12" s="8">
        <v>142500</v>
      </c>
      <c r="D12" s="8">
        <v>142500</v>
      </c>
      <c r="E12" s="8">
        <v>139700</v>
      </c>
      <c r="F12" s="8">
        <v>1700</v>
      </c>
      <c r="G12" s="8">
        <v>700</v>
      </c>
      <c r="H12" s="8">
        <v>300</v>
      </c>
      <c r="I12" s="8">
        <v>100</v>
      </c>
      <c r="J12" s="8">
        <v>0</v>
      </c>
      <c r="K12" s="11">
        <f t="shared" si="0"/>
        <v>1</v>
      </c>
      <c r="L12" s="11">
        <f t="shared" si="1"/>
        <v>7.7192982456140355E-3</v>
      </c>
      <c r="M12" s="11">
        <f t="shared" si="2"/>
        <v>7.0175438596491223E-4</v>
      </c>
      <c r="N12" s="11">
        <f t="shared" si="3"/>
        <v>0</v>
      </c>
    </row>
    <row r="13" spans="1:14" x14ac:dyDescent="0.3">
      <c r="A13" s="8" t="s">
        <v>667</v>
      </c>
      <c r="B13" s="8" t="s">
        <v>929</v>
      </c>
      <c r="C13" s="8">
        <v>145200</v>
      </c>
      <c r="D13" s="8">
        <v>145200</v>
      </c>
      <c r="E13" s="8">
        <v>141800</v>
      </c>
      <c r="F13" s="8">
        <v>2200</v>
      </c>
      <c r="G13" s="8">
        <v>800</v>
      </c>
      <c r="H13" s="8">
        <v>300</v>
      </c>
      <c r="I13" s="8">
        <v>100</v>
      </c>
      <c r="J13" s="8">
        <v>0</v>
      </c>
      <c r="K13" s="11">
        <f t="shared" si="0"/>
        <v>1</v>
      </c>
      <c r="L13" s="11">
        <f t="shared" si="1"/>
        <v>8.2644628099173556E-3</v>
      </c>
      <c r="M13" s="11">
        <f t="shared" si="2"/>
        <v>6.8870523415977963E-4</v>
      </c>
      <c r="N13" s="11">
        <f t="shared" si="3"/>
        <v>0</v>
      </c>
    </row>
    <row r="14" spans="1:14" x14ac:dyDescent="0.3">
      <c r="A14" s="8" t="s">
        <v>675</v>
      </c>
      <c r="B14" s="8" t="s">
        <v>930</v>
      </c>
      <c r="C14" s="8">
        <v>6800</v>
      </c>
      <c r="D14" s="8">
        <v>6800</v>
      </c>
      <c r="E14" s="8">
        <v>6510</v>
      </c>
      <c r="F14" s="8">
        <v>180</v>
      </c>
      <c r="G14" s="8">
        <v>70</v>
      </c>
      <c r="H14" s="8">
        <v>30</v>
      </c>
      <c r="I14" s="8">
        <v>10</v>
      </c>
      <c r="J14" s="8">
        <v>0</v>
      </c>
      <c r="K14" s="11">
        <f t="shared" si="0"/>
        <v>1</v>
      </c>
      <c r="L14" s="11">
        <f t="shared" si="1"/>
        <v>1.6176470588235296E-2</v>
      </c>
      <c r="M14" s="11">
        <f t="shared" si="2"/>
        <v>1.4705882352941176E-3</v>
      </c>
      <c r="N14" s="11">
        <f t="shared" si="3"/>
        <v>0</v>
      </c>
    </row>
    <row r="15" spans="1:14" x14ac:dyDescent="0.3">
      <c r="A15" s="8" t="s">
        <v>684</v>
      </c>
      <c r="B15" s="8" t="s">
        <v>931</v>
      </c>
      <c r="C15" s="8">
        <v>4773</v>
      </c>
      <c r="D15" s="8">
        <v>4773</v>
      </c>
      <c r="E15" s="8">
        <v>4540</v>
      </c>
      <c r="F15" s="8">
        <v>150</v>
      </c>
      <c r="G15" s="8">
        <v>55</v>
      </c>
      <c r="H15" s="8">
        <v>20</v>
      </c>
      <c r="I15" s="8">
        <v>8</v>
      </c>
      <c r="J15" s="8">
        <v>0</v>
      </c>
      <c r="K15" s="11">
        <f t="shared" si="0"/>
        <v>1</v>
      </c>
      <c r="L15" s="11">
        <f t="shared" si="1"/>
        <v>1.7389482505761576E-2</v>
      </c>
      <c r="M15" s="11">
        <f t="shared" si="2"/>
        <v>1.6760946993505132E-3</v>
      </c>
      <c r="N15" s="11">
        <f t="shared" si="3"/>
        <v>0</v>
      </c>
    </row>
    <row r="16" spans="1:14" x14ac:dyDescent="0.3">
      <c r="A16" s="8" t="s">
        <v>693</v>
      </c>
      <c r="B16" s="8" t="s">
        <v>932</v>
      </c>
      <c r="C16" s="8">
        <v>4773</v>
      </c>
      <c r="D16" s="8">
        <v>4773</v>
      </c>
      <c r="E16" s="8">
        <v>4525</v>
      </c>
      <c r="F16" s="8">
        <v>170</v>
      </c>
      <c r="G16" s="8">
        <v>50</v>
      </c>
      <c r="H16" s="8">
        <v>20</v>
      </c>
      <c r="I16" s="8">
        <v>8</v>
      </c>
      <c r="J16" s="8">
        <v>0</v>
      </c>
      <c r="K16" s="11">
        <f t="shared" si="0"/>
        <v>1</v>
      </c>
      <c r="L16" s="11">
        <f t="shared" si="1"/>
        <v>1.6341923318667503E-2</v>
      </c>
      <c r="M16" s="11">
        <f t="shared" si="2"/>
        <v>1.6760946993505132E-3</v>
      </c>
      <c r="N16" s="11">
        <f t="shared" si="3"/>
        <v>0</v>
      </c>
    </row>
    <row r="17" spans="1:14" x14ac:dyDescent="0.3">
      <c r="A17" s="8" t="s">
        <v>703</v>
      </c>
      <c r="B17" s="8" t="s">
        <v>933</v>
      </c>
      <c r="C17" s="8">
        <v>4773</v>
      </c>
      <c r="D17" s="8">
        <v>4773</v>
      </c>
      <c r="E17" s="8">
        <v>4630</v>
      </c>
      <c r="F17" s="8">
        <v>90</v>
      </c>
      <c r="G17" s="8">
        <v>35</v>
      </c>
      <c r="H17" s="8">
        <v>12</v>
      </c>
      <c r="I17" s="8">
        <v>6</v>
      </c>
      <c r="J17" s="8">
        <v>0</v>
      </c>
      <c r="K17" s="11">
        <f t="shared" si="0"/>
        <v>1</v>
      </c>
      <c r="L17" s="11">
        <f t="shared" si="1"/>
        <v>1.1104127383197151E-2</v>
      </c>
      <c r="M17" s="11">
        <f t="shared" si="2"/>
        <v>1.257071024512885E-3</v>
      </c>
      <c r="N17" s="11">
        <f t="shared" si="3"/>
        <v>0</v>
      </c>
    </row>
    <row r="18" spans="1:14" x14ac:dyDescent="0.3">
      <c r="A18" s="8" t="s">
        <v>934</v>
      </c>
      <c r="B18" s="8" t="s">
        <v>935</v>
      </c>
      <c r="C18" s="8">
        <v>4120</v>
      </c>
      <c r="D18" s="8">
        <v>4120</v>
      </c>
      <c r="E18" s="8">
        <v>3990</v>
      </c>
      <c r="F18" s="8">
        <v>90</v>
      </c>
      <c r="G18" s="8">
        <v>25</v>
      </c>
      <c r="H18" s="8">
        <v>10</v>
      </c>
      <c r="I18" s="8">
        <v>5</v>
      </c>
      <c r="J18" s="8">
        <v>0</v>
      </c>
      <c r="K18" s="11">
        <f t="shared" si="0"/>
        <v>1</v>
      </c>
      <c r="L18" s="11">
        <f t="shared" si="1"/>
        <v>9.7087378640776691E-3</v>
      </c>
      <c r="M18" s="11">
        <f t="shared" si="2"/>
        <v>1.2135922330097086E-3</v>
      </c>
      <c r="N18" s="11">
        <f t="shared" si="3"/>
        <v>0</v>
      </c>
    </row>
    <row r="19" spans="1:14" x14ac:dyDescent="0.3">
      <c r="A19" s="8" t="s">
        <v>936</v>
      </c>
      <c r="B19" s="8" t="s">
        <v>937</v>
      </c>
      <c r="C19" s="8">
        <v>3890</v>
      </c>
      <c r="D19" s="8">
        <v>3890</v>
      </c>
      <c r="E19" s="8">
        <v>3750</v>
      </c>
      <c r="F19" s="8">
        <v>85</v>
      </c>
      <c r="G19" s="8">
        <v>30</v>
      </c>
      <c r="H19" s="8">
        <v>18</v>
      </c>
      <c r="I19" s="8">
        <v>7</v>
      </c>
      <c r="J19" s="8">
        <v>0</v>
      </c>
      <c r="K19" s="11">
        <f t="shared" si="0"/>
        <v>1</v>
      </c>
      <c r="L19" s="11">
        <f t="shared" si="1"/>
        <v>1.4138817480719794E-2</v>
      </c>
      <c r="M19" s="11">
        <f t="shared" si="2"/>
        <v>1.7994858611825194E-3</v>
      </c>
      <c r="N19" s="11">
        <f t="shared" si="3"/>
        <v>0</v>
      </c>
    </row>
    <row r="20" spans="1:14" x14ac:dyDescent="0.3">
      <c r="A20" s="8" t="s">
        <v>730</v>
      </c>
      <c r="B20" s="8" t="s">
        <v>938</v>
      </c>
      <c r="C20" s="8">
        <v>980</v>
      </c>
      <c r="D20" s="8">
        <v>980</v>
      </c>
      <c r="E20" s="8">
        <v>930</v>
      </c>
      <c r="F20" s="8">
        <v>30</v>
      </c>
      <c r="G20" s="8">
        <v>12</v>
      </c>
      <c r="H20" s="8">
        <v>5</v>
      </c>
      <c r="I20" s="8">
        <v>3</v>
      </c>
      <c r="J20" s="8">
        <v>0</v>
      </c>
      <c r="K20" s="11">
        <f t="shared" si="0"/>
        <v>1</v>
      </c>
      <c r="L20" s="11">
        <f t="shared" si="1"/>
        <v>2.0408163265306121E-2</v>
      </c>
      <c r="M20" s="11">
        <f t="shared" si="2"/>
        <v>3.0612244897959182E-3</v>
      </c>
      <c r="N20" s="11">
        <f t="shared" si="3"/>
        <v>0</v>
      </c>
    </row>
    <row r="21" spans="1:14" x14ac:dyDescent="0.3">
      <c r="A21" s="8" t="s">
        <v>738</v>
      </c>
      <c r="B21" s="8" t="s">
        <v>939</v>
      </c>
      <c r="C21" s="8">
        <v>4200</v>
      </c>
      <c r="D21" s="8">
        <v>4200</v>
      </c>
      <c r="E21" s="8">
        <v>4050</v>
      </c>
      <c r="F21" s="8">
        <v>100</v>
      </c>
      <c r="G21" s="8">
        <v>30</v>
      </c>
      <c r="H21" s="8">
        <v>15</v>
      </c>
      <c r="I21" s="8">
        <v>5</v>
      </c>
      <c r="J21" s="8">
        <v>0</v>
      </c>
      <c r="K21" s="11">
        <f t="shared" si="0"/>
        <v>1</v>
      </c>
      <c r="L21" s="11">
        <f t="shared" si="1"/>
        <v>1.1904761904761904E-2</v>
      </c>
      <c r="M21" s="11">
        <f t="shared" si="2"/>
        <v>1.1904761904761906E-3</v>
      </c>
      <c r="N21" s="11">
        <f t="shared" si="3"/>
        <v>0</v>
      </c>
    </row>
    <row r="22" spans="1:14" ht="28.8" x14ac:dyDescent="0.3">
      <c r="A22" s="8" t="s">
        <v>748</v>
      </c>
      <c r="B22" s="8" t="s">
        <v>940</v>
      </c>
      <c r="C22" s="8">
        <v>4773</v>
      </c>
      <c r="D22" s="8">
        <v>4773</v>
      </c>
      <c r="E22" s="8">
        <v>4490</v>
      </c>
      <c r="F22" s="8">
        <v>180</v>
      </c>
      <c r="G22" s="8">
        <v>65</v>
      </c>
      <c r="H22" s="8">
        <v>25</v>
      </c>
      <c r="I22" s="8">
        <v>13</v>
      </c>
      <c r="J22" s="8">
        <v>0</v>
      </c>
      <c r="K22" s="11">
        <f t="shared" si="0"/>
        <v>1</v>
      </c>
      <c r="L22" s="11">
        <f t="shared" si="1"/>
        <v>2.1579719254137857E-2</v>
      </c>
      <c r="M22" s="11">
        <f t="shared" si="2"/>
        <v>2.7236538864445843E-3</v>
      </c>
      <c r="N22" s="11">
        <f t="shared" si="3"/>
        <v>0</v>
      </c>
    </row>
    <row r="23" spans="1:14" x14ac:dyDescent="0.3">
      <c r="A23" s="8" t="s">
        <v>756</v>
      </c>
      <c r="B23" s="8" t="s">
        <v>941</v>
      </c>
      <c r="C23" s="8">
        <v>1240</v>
      </c>
      <c r="D23" s="8">
        <v>1240</v>
      </c>
      <c r="E23" s="8">
        <v>1160</v>
      </c>
      <c r="F23" s="8">
        <v>45</v>
      </c>
      <c r="G23" s="8">
        <v>20</v>
      </c>
      <c r="H23" s="8">
        <v>10</v>
      </c>
      <c r="I23" s="8">
        <v>5</v>
      </c>
      <c r="J23" s="8">
        <v>0</v>
      </c>
      <c r="K23" s="11">
        <f t="shared" si="0"/>
        <v>1</v>
      </c>
      <c r="L23" s="11">
        <f t="shared" si="1"/>
        <v>2.8225806451612902E-2</v>
      </c>
      <c r="M23" s="11">
        <f t="shared" si="2"/>
        <v>4.0322580645161289E-3</v>
      </c>
      <c r="N23" s="11">
        <f t="shared" si="3"/>
        <v>0</v>
      </c>
    </row>
    <row r="24" spans="1:14" x14ac:dyDescent="0.3">
      <c r="A24" s="8" t="s">
        <v>765</v>
      </c>
      <c r="B24" s="8" t="s">
        <v>942</v>
      </c>
      <c r="C24" s="8">
        <v>18500</v>
      </c>
      <c r="D24" s="8">
        <v>18500</v>
      </c>
      <c r="E24" s="8">
        <v>17800</v>
      </c>
      <c r="F24" s="8">
        <v>420</v>
      </c>
      <c r="G24" s="8">
        <v>180</v>
      </c>
      <c r="H24" s="8">
        <v>70</v>
      </c>
      <c r="I24" s="8">
        <v>30</v>
      </c>
      <c r="J24" s="8">
        <v>0</v>
      </c>
      <c r="K24" s="11">
        <f t="shared" si="0"/>
        <v>1</v>
      </c>
      <c r="L24" s="11">
        <f t="shared" si="1"/>
        <v>1.5135135135135135E-2</v>
      </c>
      <c r="M24" s="11">
        <f t="shared" si="2"/>
        <v>1.6216216216216215E-3</v>
      </c>
      <c r="N24" s="11">
        <f t="shared" si="3"/>
        <v>0</v>
      </c>
    </row>
    <row r="25" spans="1:14" x14ac:dyDescent="0.3">
      <c r="A25" s="8" t="s">
        <v>775</v>
      </c>
      <c r="B25" s="8" t="s">
        <v>943</v>
      </c>
      <c r="C25" s="8">
        <v>610</v>
      </c>
      <c r="D25" s="8">
        <v>610</v>
      </c>
      <c r="E25" s="8">
        <v>0</v>
      </c>
      <c r="F25" s="8">
        <v>0</v>
      </c>
      <c r="G25" s="8">
        <v>0</v>
      </c>
      <c r="H25" s="8">
        <v>0</v>
      </c>
      <c r="I25" s="8">
        <v>0</v>
      </c>
      <c r="J25" s="8">
        <v>0</v>
      </c>
      <c r="K25" s="11">
        <f t="shared" si="0"/>
        <v>1</v>
      </c>
      <c r="L25" s="11">
        <f t="shared" si="1"/>
        <v>0</v>
      </c>
      <c r="M25" s="11">
        <f t="shared" si="2"/>
        <v>0</v>
      </c>
      <c r="N25" s="11">
        <f t="shared" si="3"/>
        <v>0</v>
      </c>
    </row>
    <row r="26" spans="1:14" x14ac:dyDescent="0.3">
      <c r="A26" s="8" t="s">
        <v>784</v>
      </c>
      <c r="B26" s="8" t="s">
        <v>912</v>
      </c>
      <c r="C26" s="8">
        <v>9200</v>
      </c>
      <c r="D26" s="8">
        <v>9200</v>
      </c>
      <c r="E26" s="8">
        <v>9030</v>
      </c>
      <c r="F26" s="8">
        <v>100</v>
      </c>
      <c r="G26" s="8">
        <v>40</v>
      </c>
      <c r="H26" s="8">
        <v>20</v>
      </c>
      <c r="I26" s="8">
        <v>10</v>
      </c>
      <c r="J26" s="8">
        <v>0</v>
      </c>
      <c r="K26" s="11">
        <f t="shared" si="0"/>
        <v>1</v>
      </c>
      <c r="L26" s="11">
        <f t="shared" si="1"/>
        <v>7.6086956521739134E-3</v>
      </c>
      <c r="M26" s="11">
        <f t="shared" si="2"/>
        <v>1.0869565217391304E-3</v>
      </c>
      <c r="N26" s="11">
        <f t="shared" si="3"/>
        <v>0</v>
      </c>
    </row>
    <row r="27" spans="1:14" x14ac:dyDescent="0.3">
      <c r="A27" s="8" t="s">
        <v>794</v>
      </c>
      <c r="B27" s="8" t="s">
        <v>944</v>
      </c>
      <c r="C27" s="8">
        <v>31200</v>
      </c>
      <c r="D27" s="8">
        <v>31200</v>
      </c>
      <c r="E27" s="8">
        <v>30400</v>
      </c>
      <c r="F27" s="8">
        <v>500</v>
      </c>
      <c r="G27" s="8">
        <v>180</v>
      </c>
      <c r="H27" s="8">
        <v>80</v>
      </c>
      <c r="I27" s="8">
        <v>40</v>
      </c>
      <c r="J27" s="8">
        <v>0</v>
      </c>
      <c r="K27" s="11">
        <f t="shared" si="0"/>
        <v>1</v>
      </c>
      <c r="L27" s="11">
        <f t="shared" si="1"/>
        <v>9.6153846153846159E-3</v>
      </c>
      <c r="M27" s="11">
        <f t="shared" si="2"/>
        <v>1.2820512820512821E-3</v>
      </c>
      <c r="N27" s="11">
        <f t="shared" si="3"/>
        <v>0</v>
      </c>
    </row>
  </sheetData>
  <mergeCells count="2">
    <mergeCell ref="A1:N1"/>
    <mergeCell ref="A2:N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A263A-362A-3D40-A312-E3B4D1ADDA8B}">
  <dimension ref="A1:D12"/>
  <sheetViews>
    <sheetView workbookViewId="0">
      <selection sqref="A1:XFD1048576"/>
    </sheetView>
  </sheetViews>
  <sheetFormatPr defaultColWidth="8.77734375" defaultRowHeight="14.4" x14ac:dyDescent="0.3"/>
  <cols>
    <col min="1" max="1" width="30" customWidth="1"/>
    <col min="2" max="2" width="70" customWidth="1"/>
    <col min="3" max="3" width="60" customWidth="1"/>
    <col min="4" max="4" width="30" customWidth="1"/>
  </cols>
  <sheetData>
    <row r="1" spans="1:4" x14ac:dyDescent="0.3">
      <c r="A1" s="10" t="s">
        <v>848</v>
      </c>
      <c r="B1" s="10" t="s">
        <v>849</v>
      </c>
      <c r="C1" s="10" t="s">
        <v>850</v>
      </c>
      <c r="D1" s="10" t="s">
        <v>851</v>
      </c>
    </row>
    <row r="2" spans="1:4" x14ac:dyDescent="0.3">
      <c r="A2" s="8" t="s">
        <v>852</v>
      </c>
      <c r="B2" s="8" t="s">
        <v>853</v>
      </c>
      <c r="C2" s="8" t="s">
        <v>854</v>
      </c>
      <c r="D2" s="8" t="s">
        <v>516</v>
      </c>
    </row>
    <row r="3" spans="1:4" x14ac:dyDescent="0.3">
      <c r="A3" s="8" t="s">
        <v>855</v>
      </c>
      <c r="B3" s="8" t="s">
        <v>856</v>
      </c>
      <c r="C3" s="8" t="s">
        <v>857</v>
      </c>
      <c r="D3" s="8" t="s">
        <v>858</v>
      </c>
    </row>
    <row r="4" spans="1:4" x14ac:dyDescent="0.3">
      <c r="A4" s="8" t="s">
        <v>859</v>
      </c>
      <c r="B4" s="8" t="s">
        <v>860</v>
      </c>
      <c r="C4" s="8" t="s">
        <v>861</v>
      </c>
      <c r="D4" s="8" t="s">
        <v>862</v>
      </c>
    </row>
    <row r="5" spans="1:4" x14ac:dyDescent="0.3">
      <c r="A5" s="8" t="s">
        <v>863</v>
      </c>
      <c r="B5" s="8" t="s">
        <v>864</v>
      </c>
      <c r="C5" s="8" t="s">
        <v>865</v>
      </c>
      <c r="D5" s="8" t="s">
        <v>866</v>
      </c>
    </row>
    <row r="6" spans="1:4" x14ac:dyDescent="0.3">
      <c r="A6" s="8" t="s">
        <v>867</v>
      </c>
      <c r="B6" s="8" t="s">
        <v>868</v>
      </c>
      <c r="C6" s="8" t="s">
        <v>869</v>
      </c>
      <c r="D6" s="8" t="s">
        <v>870</v>
      </c>
    </row>
    <row r="7" spans="1:4" x14ac:dyDescent="0.3">
      <c r="A7" s="8" t="s">
        <v>871</v>
      </c>
      <c r="B7" s="8" t="s">
        <v>872</v>
      </c>
      <c r="C7" s="8" t="s">
        <v>873</v>
      </c>
      <c r="D7" s="8" t="s">
        <v>874</v>
      </c>
    </row>
    <row r="8" spans="1:4" x14ac:dyDescent="0.3">
      <c r="A8" s="8" t="s">
        <v>297</v>
      </c>
      <c r="B8" s="8" t="s">
        <v>875</v>
      </c>
      <c r="C8" s="8" t="s">
        <v>876</v>
      </c>
      <c r="D8" s="8" t="s">
        <v>877</v>
      </c>
    </row>
    <row r="9" spans="1:4" x14ac:dyDescent="0.3">
      <c r="A9" s="8" t="s">
        <v>878</v>
      </c>
      <c r="B9" s="8" t="s">
        <v>879</v>
      </c>
      <c r="C9" s="8" t="s">
        <v>880</v>
      </c>
      <c r="D9" s="8" t="s">
        <v>881</v>
      </c>
    </row>
    <row r="10" spans="1:4" x14ac:dyDescent="0.3">
      <c r="A10" s="8" t="s">
        <v>296</v>
      </c>
      <c r="B10" s="8" t="s">
        <v>882</v>
      </c>
      <c r="C10" s="8" t="s">
        <v>883</v>
      </c>
      <c r="D10" s="8" t="s">
        <v>884</v>
      </c>
    </row>
    <row r="11" spans="1:4" x14ac:dyDescent="0.3">
      <c r="A11" s="8" t="s">
        <v>885</v>
      </c>
      <c r="B11" s="8" t="s">
        <v>886</v>
      </c>
      <c r="C11" s="8" t="s">
        <v>887</v>
      </c>
      <c r="D11" s="8" t="s">
        <v>888</v>
      </c>
    </row>
    <row r="12" spans="1:4" x14ac:dyDescent="0.3">
      <c r="A12" s="8" t="s">
        <v>889</v>
      </c>
      <c r="B12" s="8" t="s">
        <v>890</v>
      </c>
      <c r="C12" s="8" t="s">
        <v>891</v>
      </c>
      <c r="D12" s="8" t="s">
        <v>300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69"/>
  <sheetViews>
    <sheetView showGridLines="0" workbookViewId="0">
      <pane ySplit="5" topLeftCell="A6" activePane="bottomLeft" state="frozen"/>
      <selection pane="bottomLeft" sqref="A1:N1"/>
    </sheetView>
  </sheetViews>
  <sheetFormatPr defaultColWidth="8.77734375" defaultRowHeight="14.4" x14ac:dyDescent="0.3"/>
  <cols>
    <col min="1" max="1" width="15" customWidth="1"/>
    <col min="2" max="4" width="18" customWidth="1"/>
    <col min="5" max="5" width="20" customWidth="1"/>
    <col min="6" max="6" width="22" customWidth="1"/>
    <col min="7" max="7" width="25" customWidth="1"/>
    <col min="8" max="9" width="27" customWidth="1"/>
    <col min="10" max="10" width="20" customWidth="1"/>
    <col min="11" max="11" width="21" customWidth="1"/>
    <col min="12" max="13" width="19" customWidth="1"/>
    <col min="14" max="14" width="22" customWidth="1"/>
  </cols>
  <sheetData>
    <row r="1" spans="1:14" ht="31.95" customHeight="1" x14ac:dyDescent="0.3">
      <c r="A1" s="12" t="s">
        <v>0</v>
      </c>
      <c r="B1" s="13"/>
      <c r="C1" s="13"/>
      <c r="D1" s="13"/>
      <c r="E1" s="13"/>
      <c r="F1" s="13"/>
      <c r="G1" s="13"/>
      <c r="H1" s="13"/>
      <c r="I1" s="13"/>
      <c r="J1" s="13"/>
      <c r="K1" s="13"/>
      <c r="L1" s="13"/>
      <c r="M1" s="13"/>
      <c r="N1" s="13"/>
    </row>
    <row r="2" spans="1:14" ht="34.950000000000003" customHeight="1" x14ac:dyDescent="0.3">
      <c r="A2" s="21" t="s">
        <v>363</v>
      </c>
      <c r="B2" s="13"/>
      <c r="C2" s="13"/>
      <c r="D2" s="13"/>
      <c r="E2" s="13"/>
      <c r="F2" s="13"/>
      <c r="G2" s="13"/>
      <c r="H2" s="13"/>
      <c r="I2" s="13"/>
      <c r="J2" s="13"/>
      <c r="K2" s="13"/>
      <c r="L2" s="13"/>
      <c r="M2" s="13"/>
      <c r="N2" s="13"/>
    </row>
    <row r="4" spans="1:14" ht="24" customHeight="1" x14ac:dyDescent="0.3">
      <c r="A4" s="16" t="s">
        <v>364</v>
      </c>
      <c r="B4" s="13"/>
      <c r="C4" s="13"/>
      <c r="D4" s="13"/>
      <c r="E4" s="13"/>
      <c r="F4" s="13"/>
      <c r="G4" s="13"/>
      <c r="H4" s="13"/>
      <c r="I4" s="13"/>
      <c r="J4" s="13"/>
      <c r="K4" s="13"/>
      <c r="L4" s="13"/>
      <c r="M4" s="13"/>
      <c r="N4" s="13"/>
    </row>
    <row r="5" spans="1:14" ht="28.05" customHeight="1" x14ac:dyDescent="0.3">
      <c r="A5" s="1" t="s">
        <v>3</v>
      </c>
      <c r="B5" s="1" t="s">
        <v>4</v>
      </c>
      <c r="C5" s="1" t="s">
        <v>3</v>
      </c>
      <c r="D5" s="1" t="s">
        <v>4</v>
      </c>
      <c r="E5" s="1" t="s">
        <v>3</v>
      </c>
      <c r="F5" s="1" t="s">
        <v>4</v>
      </c>
      <c r="G5" s="1" t="s">
        <v>3</v>
      </c>
      <c r="H5" s="1" t="s">
        <v>4</v>
      </c>
      <c r="I5" s="1" t="s">
        <v>3</v>
      </c>
      <c r="J5" s="1" t="s">
        <v>4</v>
      </c>
      <c r="K5" s="1" t="s">
        <v>5</v>
      </c>
      <c r="L5" s="1" t="s">
        <v>6</v>
      </c>
      <c r="M5" s="1" t="s">
        <v>221</v>
      </c>
      <c r="N5" s="1" t="s">
        <v>100</v>
      </c>
    </row>
    <row r="6" spans="1:14" ht="28.8" x14ac:dyDescent="0.3">
      <c r="A6" s="2" t="s">
        <v>7</v>
      </c>
      <c r="B6" s="2" t="s">
        <v>8</v>
      </c>
      <c r="C6" s="2" t="s">
        <v>9</v>
      </c>
      <c r="D6" s="2" t="s">
        <v>10</v>
      </c>
      <c r="E6" s="2" t="s">
        <v>282</v>
      </c>
      <c r="F6" s="2" t="s">
        <v>12</v>
      </c>
      <c r="G6" s="2" t="s">
        <v>13</v>
      </c>
      <c r="H6" s="2" t="s">
        <v>14</v>
      </c>
      <c r="I6" s="2" t="s">
        <v>365</v>
      </c>
      <c r="J6" s="2" t="s">
        <v>366</v>
      </c>
      <c r="K6" s="2" t="s">
        <v>367</v>
      </c>
      <c r="L6" s="2" t="s">
        <v>18</v>
      </c>
      <c r="M6" s="2" t="s">
        <v>112</v>
      </c>
      <c r="N6" s="2" t="s">
        <v>368</v>
      </c>
    </row>
    <row r="8" spans="1:14" ht="24" customHeight="1" x14ac:dyDescent="0.3">
      <c r="A8" s="16" t="s">
        <v>369</v>
      </c>
      <c r="B8" s="13"/>
      <c r="C8" s="13"/>
      <c r="D8" s="13"/>
      <c r="E8" s="13"/>
      <c r="F8" s="13"/>
      <c r="G8" s="13"/>
      <c r="H8" s="13"/>
      <c r="I8" s="13"/>
      <c r="J8" s="13"/>
      <c r="K8" s="13"/>
      <c r="L8" s="13"/>
      <c r="M8" s="13"/>
      <c r="N8" s="13"/>
    </row>
    <row r="9" spans="1:14" ht="28.05" customHeight="1" x14ac:dyDescent="0.3">
      <c r="A9" s="1" t="s">
        <v>29</v>
      </c>
      <c r="B9" s="1" t="s">
        <v>370</v>
      </c>
      <c r="C9" s="1" t="s">
        <v>371</v>
      </c>
      <c r="D9" s="1" t="s">
        <v>372</v>
      </c>
      <c r="E9" s="1" t="s">
        <v>373</v>
      </c>
      <c r="F9" s="1" t="s">
        <v>374</v>
      </c>
      <c r="G9" s="1" t="s">
        <v>375</v>
      </c>
      <c r="H9" s="1" t="s">
        <v>376</v>
      </c>
      <c r="I9" s="1" t="s">
        <v>377</v>
      </c>
      <c r="J9" s="1" t="s">
        <v>378</v>
      </c>
      <c r="K9" s="1" t="s">
        <v>379</v>
      </c>
      <c r="L9" s="1" t="s">
        <v>169</v>
      </c>
      <c r="M9" s="1" t="s">
        <v>40</v>
      </c>
      <c r="N9" s="1" t="s">
        <v>380</v>
      </c>
    </row>
    <row r="10" spans="1:14" ht="43.2" x14ac:dyDescent="0.3">
      <c r="A10" s="2" t="s">
        <v>283</v>
      </c>
      <c r="B10" s="2" t="s">
        <v>381</v>
      </c>
      <c r="C10" s="2" t="s">
        <v>382</v>
      </c>
      <c r="D10" s="2">
        <v>4773</v>
      </c>
      <c r="E10" s="2">
        <v>12</v>
      </c>
      <c r="F10" s="2">
        <v>4850</v>
      </c>
      <c r="G10" s="2" t="s">
        <v>383</v>
      </c>
      <c r="H10" s="2">
        <v>60</v>
      </c>
      <c r="I10" s="2" t="s">
        <v>384</v>
      </c>
      <c r="J10" s="2" t="s">
        <v>385</v>
      </c>
      <c r="K10" s="2" t="s">
        <v>182</v>
      </c>
      <c r="L10" s="2" t="s">
        <v>386</v>
      </c>
      <c r="M10" s="2" t="s">
        <v>59</v>
      </c>
      <c r="N10" s="2" t="s">
        <v>387</v>
      </c>
    </row>
    <row r="11" spans="1:14" ht="43.2" x14ac:dyDescent="0.3">
      <c r="A11" s="2" t="s">
        <v>66</v>
      </c>
      <c r="B11" s="2" t="s">
        <v>388</v>
      </c>
      <c r="C11" s="2" t="s">
        <v>389</v>
      </c>
      <c r="D11" s="2">
        <v>121450</v>
      </c>
      <c r="E11" s="2">
        <v>10</v>
      </c>
      <c r="F11" s="2">
        <v>320</v>
      </c>
      <c r="G11" s="2" t="s">
        <v>383</v>
      </c>
      <c r="H11" s="2">
        <v>75</v>
      </c>
      <c r="I11" s="2" t="s">
        <v>390</v>
      </c>
      <c r="J11" s="2" t="s">
        <v>385</v>
      </c>
      <c r="K11" s="2" t="s">
        <v>147</v>
      </c>
      <c r="L11" s="2" t="s">
        <v>391</v>
      </c>
      <c r="M11" s="2" t="s">
        <v>71</v>
      </c>
      <c r="N11" s="2" t="s">
        <v>387</v>
      </c>
    </row>
    <row r="12" spans="1:14" ht="28.8" x14ac:dyDescent="0.3">
      <c r="A12" s="2" t="s">
        <v>73</v>
      </c>
      <c r="B12" s="2" t="s">
        <v>392</v>
      </c>
      <c r="C12" s="2" t="s">
        <v>393</v>
      </c>
      <c r="D12" s="2">
        <v>4773</v>
      </c>
      <c r="E12" s="2">
        <v>12</v>
      </c>
      <c r="F12" s="2">
        <v>4773</v>
      </c>
      <c r="G12" s="2" t="s">
        <v>383</v>
      </c>
      <c r="H12" s="2">
        <v>60</v>
      </c>
      <c r="I12" s="2" t="s">
        <v>394</v>
      </c>
      <c r="J12" s="2" t="s">
        <v>385</v>
      </c>
      <c r="K12" s="2" t="s">
        <v>157</v>
      </c>
      <c r="L12" s="2" t="s">
        <v>395</v>
      </c>
      <c r="M12" s="2" t="s">
        <v>76</v>
      </c>
      <c r="N12" s="2" t="s">
        <v>387</v>
      </c>
    </row>
    <row r="13" spans="1:14" ht="28.8" x14ac:dyDescent="0.3">
      <c r="A13" s="2" t="s">
        <v>188</v>
      </c>
      <c r="B13" s="2" t="s">
        <v>396</v>
      </c>
      <c r="C13" s="2" t="s">
        <v>397</v>
      </c>
      <c r="D13" s="2">
        <v>3920</v>
      </c>
      <c r="E13" s="2">
        <v>10</v>
      </c>
      <c r="F13" s="2">
        <v>3940</v>
      </c>
      <c r="G13" s="2" t="s">
        <v>383</v>
      </c>
      <c r="H13" s="2">
        <v>50</v>
      </c>
      <c r="I13" s="2" t="s">
        <v>394</v>
      </c>
      <c r="J13" s="2" t="s">
        <v>171</v>
      </c>
      <c r="K13" s="2" t="s">
        <v>157</v>
      </c>
      <c r="L13" s="2" t="s">
        <v>398</v>
      </c>
      <c r="M13" s="2" t="s">
        <v>80</v>
      </c>
      <c r="N13" s="2" t="s">
        <v>387</v>
      </c>
    </row>
    <row r="14" spans="1:14" ht="43.2" x14ac:dyDescent="0.3">
      <c r="A14" s="2" t="s">
        <v>399</v>
      </c>
      <c r="B14" s="2" t="s">
        <v>400</v>
      </c>
      <c r="C14" s="2" t="s">
        <v>401</v>
      </c>
      <c r="D14" s="2">
        <v>185</v>
      </c>
      <c r="E14" s="2">
        <v>14</v>
      </c>
      <c r="F14" s="2">
        <v>185</v>
      </c>
      <c r="G14" s="2" t="s">
        <v>383</v>
      </c>
      <c r="H14" s="2">
        <v>30</v>
      </c>
      <c r="I14" s="2" t="s">
        <v>402</v>
      </c>
      <c r="J14" s="2" t="s">
        <v>385</v>
      </c>
      <c r="K14" s="2" t="s">
        <v>140</v>
      </c>
      <c r="L14" s="2" t="s">
        <v>403</v>
      </c>
      <c r="M14" s="2" t="s">
        <v>404</v>
      </c>
      <c r="N14" s="2" t="s">
        <v>387</v>
      </c>
    </row>
    <row r="17" spans="1:14" ht="24" customHeight="1" x14ac:dyDescent="0.3">
      <c r="A17" s="16" t="s">
        <v>405</v>
      </c>
      <c r="B17" s="13"/>
      <c r="C17" s="13"/>
      <c r="D17" s="13"/>
      <c r="E17" s="13"/>
      <c r="F17" s="13"/>
      <c r="G17" s="13"/>
      <c r="H17" s="13"/>
      <c r="I17" s="13"/>
      <c r="J17" s="13"/>
      <c r="K17" s="13"/>
      <c r="L17" s="13"/>
      <c r="M17" s="13"/>
      <c r="N17" s="13"/>
    </row>
    <row r="18" spans="1:14" ht="28.05" customHeight="1" x14ac:dyDescent="0.3">
      <c r="A18" s="1" t="s">
        <v>406</v>
      </c>
      <c r="B18" s="1" t="s">
        <v>407</v>
      </c>
      <c r="C18" s="1" t="s">
        <v>408</v>
      </c>
      <c r="D18" s="1" t="s">
        <v>409</v>
      </c>
      <c r="E18" s="1" t="s">
        <v>410</v>
      </c>
      <c r="F18" s="1" t="s">
        <v>411</v>
      </c>
      <c r="G18" s="1" t="s">
        <v>378</v>
      </c>
      <c r="H18" s="1" t="s">
        <v>103</v>
      </c>
      <c r="I18" s="1" t="s">
        <v>412</v>
      </c>
      <c r="J18" s="1" t="s">
        <v>132</v>
      </c>
      <c r="K18" s="1" t="s">
        <v>101</v>
      </c>
      <c r="L18" s="1" t="s">
        <v>248</v>
      </c>
      <c r="M18" s="1" t="s">
        <v>413</v>
      </c>
      <c r="N18" s="1" t="s">
        <v>414</v>
      </c>
    </row>
    <row r="19" spans="1:14" ht="28.8" x14ac:dyDescent="0.3">
      <c r="A19" s="2" t="s">
        <v>415</v>
      </c>
      <c r="B19" s="2" t="s">
        <v>173</v>
      </c>
      <c r="C19" s="2" t="s">
        <v>416</v>
      </c>
      <c r="D19" s="2" t="s">
        <v>417</v>
      </c>
      <c r="E19" s="2" t="s">
        <v>418</v>
      </c>
      <c r="F19" s="2" t="s">
        <v>177</v>
      </c>
      <c r="G19" s="2" t="s">
        <v>385</v>
      </c>
      <c r="H19" s="2" t="s">
        <v>419</v>
      </c>
      <c r="I19" s="2" t="s">
        <v>33</v>
      </c>
      <c r="J19" s="2"/>
      <c r="K19" s="2" t="s">
        <v>127</v>
      </c>
      <c r="L19" s="2" t="s">
        <v>420</v>
      </c>
      <c r="M19" s="2" t="s">
        <v>421</v>
      </c>
      <c r="N19" s="2" t="s">
        <v>422</v>
      </c>
    </row>
    <row r="20" spans="1:14" ht="28.8" x14ac:dyDescent="0.3">
      <c r="A20" s="2" t="s">
        <v>423</v>
      </c>
      <c r="B20" s="2" t="s">
        <v>424</v>
      </c>
      <c r="C20" s="2" t="s">
        <v>425</v>
      </c>
      <c r="D20" s="2" t="s">
        <v>426</v>
      </c>
      <c r="E20" s="2" t="s">
        <v>427</v>
      </c>
      <c r="F20" s="2" t="s">
        <v>427</v>
      </c>
      <c r="G20" s="2" t="s">
        <v>385</v>
      </c>
      <c r="H20" s="2" t="s">
        <v>113</v>
      </c>
      <c r="I20" s="2" t="s">
        <v>428</v>
      </c>
      <c r="J20" s="2"/>
      <c r="K20" s="2" t="s">
        <v>120</v>
      </c>
      <c r="L20" s="2" t="s">
        <v>91</v>
      </c>
      <c r="M20" s="2" t="s">
        <v>421</v>
      </c>
      <c r="N20" s="2" t="s">
        <v>422</v>
      </c>
    </row>
    <row r="21" spans="1:14" ht="28.8" x14ac:dyDescent="0.3">
      <c r="A21" s="2" t="s">
        <v>148</v>
      </c>
      <c r="B21" s="2" t="s">
        <v>429</v>
      </c>
      <c r="C21" s="2" t="s">
        <v>430</v>
      </c>
      <c r="D21" s="2" t="s">
        <v>431</v>
      </c>
      <c r="E21" s="2" t="s">
        <v>432</v>
      </c>
      <c r="F21" s="2" t="s">
        <v>433</v>
      </c>
      <c r="G21" s="2" t="s">
        <v>171</v>
      </c>
      <c r="H21" s="2" t="s">
        <v>434</v>
      </c>
      <c r="I21" s="2" t="s">
        <v>435</v>
      </c>
      <c r="J21" s="2" t="s">
        <v>147</v>
      </c>
      <c r="K21" s="2" t="s">
        <v>150</v>
      </c>
      <c r="L21" s="2" t="s">
        <v>436</v>
      </c>
      <c r="M21" s="2" t="s">
        <v>437</v>
      </c>
      <c r="N21" s="2" t="s">
        <v>422</v>
      </c>
    </row>
    <row r="22" spans="1:14" ht="43.2" x14ac:dyDescent="0.3">
      <c r="A22" s="2" t="s">
        <v>438</v>
      </c>
      <c r="B22" s="2" t="s">
        <v>73</v>
      </c>
      <c r="C22" s="2" t="s">
        <v>439</v>
      </c>
      <c r="D22" s="2" t="s">
        <v>440</v>
      </c>
      <c r="E22" s="2" t="s">
        <v>441</v>
      </c>
      <c r="F22" s="2" t="s">
        <v>441</v>
      </c>
      <c r="G22" s="2" t="s">
        <v>385</v>
      </c>
      <c r="H22" s="2" t="s">
        <v>442</v>
      </c>
      <c r="I22" s="2" t="s">
        <v>443</v>
      </c>
      <c r="J22" s="2"/>
      <c r="K22" s="2" t="s">
        <v>127</v>
      </c>
      <c r="L22" s="2" t="s">
        <v>420</v>
      </c>
      <c r="M22" s="2" t="s">
        <v>421</v>
      </c>
      <c r="N22" s="2" t="s">
        <v>422</v>
      </c>
    </row>
    <row r="23" spans="1:14" ht="28.8" x14ac:dyDescent="0.3">
      <c r="A23" s="2" t="s">
        <v>158</v>
      </c>
      <c r="B23" s="2" t="s">
        <v>444</v>
      </c>
      <c r="C23" s="2" t="s">
        <v>445</v>
      </c>
      <c r="D23" s="2" t="s">
        <v>446</v>
      </c>
      <c r="E23" s="2" t="s">
        <v>447</v>
      </c>
      <c r="F23" s="2" t="s">
        <v>448</v>
      </c>
      <c r="G23" s="2" t="s">
        <v>171</v>
      </c>
      <c r="H23" s="2" t="s">
        <v>449</v>
      </c>
      <c r="I23" s="2" t="s">
        <v>450</v>
      </c>
      <c r="J23" s="2" t="s">
        <v>157</v>
      </c>
      <c r="K23" s="2" t="s">
        <v>111</v>
      </c>
      <c r="L23" s="2" t="s">
        <v>451</v>
      </c>
      <c r="M23" s="2" t="s">
        <v>452</v>
      </c>
      <c r="N23" s="2" t="s">
        <v>422</v>
      </c>
    </row>
    <row r="24" spans="1:14" ht="28.8" x14ac:dyDescent="0.3">
      <c r="A24" s="2" t="s">
        <v>453</v>
      </c>
      <c r="B24" s="2" t="s">
        <v>454</v>
      </c>
      <c r="C24" s="2" t="s">
        <v>455</v>
      </c>
      <c r="D24" s="2" t="s">
        <v>456</v>
      </c>
      <c r="E24" s="2" t="s">
        <v>177</v>
      </c>
      <c r="F24" s="2" t="s">
        <v>177</v>
      </c>
      <c r="G24" s="2" t="s">
        <v>385</v>
      </c>
      <c r="H24" s="2" t="s">
        <v>457</v>
      </c>
      <c r="I24" s="2" t="s">
        <v>33</v>
      </c>
      <c r="J24" s="2"/>
      <c r="K24" s="2" t="s">
        <v>120</v>
      </c>
      <c r="L24" s="2" t="s">
        <v>420</v>
      </c>
      <c r="M24" s="2" t="s">
        <v>421</v>
      </c>
      <c r="N24" s="2" t="s">
        <v>422</v>
      </c>
    </row>
    <row r="25" spans="1:14" ht="28.8" x14ac:dyDescent="0.3">
      <c r="A25" s="2" t="s">
        <v>458</v>
      </c>
      <c r="B25" s="2" t="s">
        <v>459</v>
      </c>
      <c r="C25" s="2" t="s">
        <v>460</v>
      </c>
      <c r="D25" s="2" t="s">
        <v>461</v>
      </c>
      <c r="E25" s="2" t="s">
        <v>168</v>
      </c>
      <c r="F25" s="2" t="s">
        <v>168</v>
      </c>
      <c r="G25" s="2" t="s">
        <v>385</v>
      </c>
      <c r="H25" s="2" t="s">
        <v>462</v>
      </c>
      <c r="I25" s="2" t="s">
        <v>33</v>
      </c>
      <c r="J25" s="2"/>
      <c r="K25" s="2" t="s">
        <v>120</v>
      </c>
      <c r="L25" s="2" t="s">
        <v>420</v>
      </c>
      <c r="M25" s="2" t="s">
        <v>421</v>
      </c>
      <c r="N25" s="2" t="s">
        <v>422</v>
      </c>
    </row>
    <row r="26" spans="1:14" ht="28.8" x14ac:dyDescent="0.3">
      <c r="A26" s="2" t="s">
        <v>463</v>
      </c>
      <c r="B26" s="2" t="s">
        <v>193</v>
      </c>
      <c r="C26" s="2" t="s">
        <v>464</v>
      </c>
      <c r="D26" s="2" t="s">
        <v>465</v>
      </c>
      <c r="E26" s="2" t="s">
        <v>177</v>
      </c>
      <c r="F26" s="2" t="s">
        <v>177</v>
      </c>
      <c r="G26" s="2" t="s">
        <v>385</v>
      </c>
      <c r="H26" s="2" t="s">
        <v>466</v>
      </c>
      <c r="I26" s="2" t="s">
        <v>33</v>
      </c>
      <c r="J26" s="2"/>
      <c r="K26" s="2" t="s">
        <v>120</v>
      </c>
      <c r="L26" s="2" t="s">
        <v>420</v>
      </c>
      <c r="M26" s="2" t="s">
        <v>421</v>
      </c>
      <c r="N26" s="2" t="s">
        <v>422</v>
      </c>
    </row>
    <row r="29" spans="1:14" ht="24" customHeight="1" x14ac:dyDescent="0.3">
      <c r="A29" s="16" t="s">
        <v>467</v>
      </c>
      <c r="B29" s="13"/>
      <c r="C29" s="13"/>
      <c r="D29" s="13"/>
      <c r="E29" s="13"/>
      <c r="F29" s="13"/>
      <c r="G29" s="13"/>
      <c r="H29" s="13"/>
      <c r="I29" s="13"/>
      <c r="J29" s="13"/>
      <c r="K29" s="13"/>
      <c r="L29" s="13"/>
      <c r="M29" s="13"/>
      <c r="N29" s="13"/>
    </row>
    <row r="30" spans="1:14" ht="28.05" customHeight="1" x14ac:dyDescent="0.3">
      <c r="A30" s="1" t="s">
        <v>412</v>
      </c>
      <c r="B30" s="1" t="s">
        <v>468</v>
      </c>
      <c r="C30" s="1" t="s">
        <v>469</v>
      </c>
      <c r="D30" s="1" t="s">
        <v>470</v>
      </c>
      <c r="E30" s="1" t="s">
        <v>471</v>
      </c>
      <c r="F30" s="1" t="s">
        <v>472</v>
      </c>
      <c r="G30" s="1" t="s">
        <v>473</v>
      </c>
      <c r="H30" s="1" t="s">
        <v>378</v>
      </c>
      <c r="I30" s="1" t="s">
        <v>132</v>
      </c>
      <c r="J30" s="1" t="s">
        <v>39</v>
      </c>
      <c r="K30" s="1" t="s">
        <v>474</v>
      </c>
      <c r="L30" s="1" t="s">
        <v>475</v>
      </c>
      <c r="M30" s="1" t="s">
        <v>104</v>
      </c>
      <c r="N30" s="1" t="s">
        <v>380</v>
      </c>
    </row>
    <row r="31" spans="1:14" ht="28.8" x14ac:dyDescent="0.3">
      <c r="A31" s="2" t="s">
        <v>435</v>
      </c>
      <c r="B31" s="2" t="s">
        <v>476</v>
      </c>
      <c r="C31" s="2">
        <v>121450</v>
      </c>
      <c r="D31" s="2">
        <v>121448</v>
      </c>
      <c r="E31" s="2">
        <v>2</v>
      </c>
      <c r="F31" s="2">
        <v>0</v>
      </c>
      <c r="G31" s="2">
        <v>0</v>
      </c>
      <c r="H31" s="2" t="s">
        <v>171</v>
      </c>
      <c r="I31" s="2" t="s">
        <v>147</v>
      </c>
      <c r="J31" s="2" t="s">
        <v>434</v>
      </c>
      <c r="K31" s="2" t="s">
        <v>477</v>
      </c>
      <c r="L31" s="2" t="s">
        <v>112</v>
      </c>
      <c r="M31" s="2" t="s">
        <v>148</v>
      </c>
      <c r="N31" s="2" t="s">
        <v>422</v>
      </c>
    </row>
    <row r="32" spans="1:14" ht="28.8" x14ac:dyDescent="0.3">
      <c r="A32" s="2" t="s">
        <v>443</v>
      </c>
      <c r="B32" s="2" t="s">
        <v>478</v>
      </c>
      <c r="C32" s="2">
        <v>4773</v>
      </c>
      <c r="D32" s="2">
        <v>4773</v>
      </c>
      <c r="E32" s="2">
        <v>0</v>
      </c>
      <c r="F32" s="2">
        <v>0</v>
      </c>
      <c r="G32" s="2">
        <v>0</v>
      </c>
      <c r="H32" s="2" t="s">
        <v>385</v>
      </c>
      <c r="I32" s="2"/>
      <c r="J32" s="2" t="s">
        <v>442</v>
      </c>
      <c r="K32" s="2" t="s">
        <v>477</v>
      </c>
      <c r="L32" s="2" t="s">
        <v>112</v>
      </c>
      <c r="M32" s="2" t="s">
        <v>438</v>
      </c>
      <c r="N32" s="2" t="s">
        <v>422</v>
      </c>
    </row>
    <row r="33" spans="1:14" x14ac:dyDescent="0.3">
      <c r="A33" s="2" t="s">
        <v>450</v>
      </c>
      <c r="B33" s="2" t="s">
        <v>479</v>
      </c>
      <c r="C33" s="2">
        <v>3920</v>
      </c>
      <c r="D33" s="2">
        <v>3909</v>
      </c>
      <c r="E33" s="2">
        <v>11</v>
      </c>
      <c r="F33" s="2">
        <v>12500</v>
      </c>
      <c r="G33" s="2">
        <v>0</v>
      </c>
      <c r="H33" s="2" t="s">
        <v>171</v>
      </c>
      <c r="I33" s="2" t="s">
        <v>157</v>
      </c>
      <c r="J33" s="2" t="s">
        <v>449</v>
      </c>
      <c r="K33" s="2" t="s">
        <v>477</v>
      </c>
      <c r="L33" s="2" t="s">
        <v>112</v>
      </c>
      <c r="M33" s="2" t="s">
        <v>158</v>
      </c>
      <c r="N33" s="2" t="s">
        <v>422</v>
      </c>
    </row>
    <row r="34" spans="1:14" x14ac:dyDescent="0.3">
      <c r="A34" s="2" t="s">
        <v>480</v>
      </c>
      <c r="B34" s="2" t="s">
        <v>481</v>
      </c>
      <c r="C34" s="2">
        <v>3200</v>
      </c>
      <c r="D34" s="2">
        <v>3200</v>
      </c>
      <c r="E34" s="2">
        <v>0</v>
      </c>
      <c r="F34" s="2">
        <v>0</v>
      </c>
      <c r="G34" s="2">
        <v>0</v>
      </c>
      <c r="H34" s="2" t="s">
        <v>385</v>
      </c>
      <c r="I34" s="2"/>
      <c r="J34" s="2" t="s">
        <v>482</v>
      </c>
      <c r="K34" s="2" t="s">
        <v>477</v>
      </c>
      <c r="L34" s="2" t="s">
        <v>112</v>
      </c>
      <c r="M34" s="2" t="s">
        <v>483</v>
      </c>
      <c r="N34" s="2" t="s">
        <v>422</v>
      </c>
    </row>
    <row r="35" spans="1:14" ht="28.8" x14ac:dyDescent="0.3">
      <c r="A35" s="2" t="s">
        <v>484</v>
      </c>
      <c r="B35" s="2" t="s">
        <v>485</v>
      </c>
      <c r="C35" s="2">
        <v>185</v>
      </c>
      <c r="D35" s="2">
        <v>184</v>
      </c>
      <c r="E35" s="2">
        <v>1</v>
      </c>
      <c r="F35" s="2">
        <v>18000</v>
      </c>
      <c r="G35" s="2">
        <v>0</v>
      </c>
      <c r="H35" s="2" t="s">
        <v>171</v>
      </c>
      <c r="I35" s="2" t="s">
        <v>486</v>
      </c>
      <c r="J35" s="2" t="s">
        <v>487</v>
      </c>
      <c r="K35" s="2" t="s">
        <v>477</v>
      </c>
      <c r="L35" s="2" t="s">
        <v>112</v>
      </c>
      <c r="M35" s="2" t="s">
        <v>488</v>
      </c>
      <c r="N35" s="2" t="s">
        <v>422</v>
      </c>
    </row>
    <row r="39" spans="1:14" ht="24" customHeight="1" x14ac:dyDescent="0.3">
      <c r="A39" s="16" t="s">
        <v>489</v>
      </c>
      <c r="B39" s="13"/>
      <c r="C39" s="13"/>
      <c r="D39" s="13"/>
      <c r="E39" s="13"/>
      <c r="F39" s="13"/>
      <c r="G39" s="13"/>
      <c r="H39" s="13"/>
      <c r="I39" s="13"/>
      <c r="J39" s="13"/>
      <c r="K39" s="13"/>
      <c r="L39" s="13"/>
      <c r="M39" s="13"/>
      <c r="N39" s="13"/>
    </row>
    <row r="40" spans="1:14" ht="28.05" customHeight="1" x14ac:dyDescent="0.3">
      <c r="A40" s="1" t="s">
        <v>132</v>
      </c>
      <c r="B40" s="1" t="s">
        <v>490</v>
      </c>
      <c r="C40" s="1" t="s">
        <v>491</v>
      </c>
      <c r="D40" s="1" t="s">
        <v>101</v>
      </c>
      <c r="E40" s="1" t="s">
        <v>39</v>
      </c>
      <c r="F40" s="1" t="s">
        <v>492</v>
      </c>
      <c r="G40" s="1" t="s">
        <v>134</v>
      </c>
      <c r="H40" s="1" t="s">
        <v>135</v>
      </c>
      <c r="I40" s="1" t="s">
        <v>248</v>
      </c>
      <c r="J40" s="1" t="s">
        <v>266</v>
      </c>
      <c r="K40" s="1" t="s">
        <v>136</v>
      </c>
      <c r="L40" s="1" t="s">
        <v>100</v>
      </c>
      <c r="M40" s="1" t="s">
        <v>493</v>
      </c>
      <c r="N40" s="1" t="s">
        <v>494</v>
      </c>
    </row>
    <row r="41" spans="1:14" ht="57.6" x14ac:dyDescent="0.3">
      <c r="A41" s="2" t="s">
        <v>147</v>
      </c>
      <c r="B41" s="2" t="s">
        <v>495</v>
      </c>
      <c r="C41" s="2" t="s">
        <v>148</v>
      </c>
      <c r="D41" s="2" t="s">
        <v>150</v>
      </c>
      <c r="E41" s="2" t="s">
        <v>434</v>
      </c>
      <c r="F41" s="2" t="s">
        <v>496</v>
      </c>
      <c r="G41" s="2" t="s">
        <v>151</v>
      </c>
      <c r="H41" s="2" t="s">
        <v>497</v>
      </c>
      <c r="I41" s="2" t="s">
        <v>498</v>
      </c>
      <c r="J41" s="2" t="s">
        <v>499</v>
      </c>
      <c r="K41" s="2" t="s">
        <v>261</v>
      </c>
      <c r="L41" s="2" t="s">
        <v>154</v>
      </c>
      <c r="M41" s="2" t="s">
        <v>500</v>
      </c>
      <c r="N41" s="2" t="s">
        <v>501</v>
      </c>
    </row>
    <row r="42" spans="1:14" ht="43.2" x14ac:dyDescent="0.3">
      <c r="A42" s="2" t="s">
        <v>157</v>
      </c>
      <c r="B42" s="2" t="s">
        <v>502</v>
      </c>
      <c r="C42" s="2" t="s">
        <v>158</v>
      </c>
      <c r="D42" s="2" t="s">
        <v>111</v>
      </c>
      <c r="E42" s="2" t="s">
        <v>449</v>
      </c>
      <c r="F42" s="2" t="s">
        <v>503</v>
      </c>
      <c r="G42" s="2" t="s">
        <v>322</v>
      </c>
      <c r="H42" s="2" t="s">
        <v>504</v>
      </c>
      <c r="I42" s="2" t="s">
        <v>505</v>
      </c>
      <c r="J42" s="2" t="s">
        <v>506</v>
      </c>
      <c r="K42" s="2" t="s">
        <v>327</v>
      </c>
      <c r="L42" s="2" t="s">
        <v>144</v>
      </c>
      <c r="M42" s="2" t="s">
        <v>500</v>
      </c>
      <c r="N42" s="2" t="s">
        <v>501</v>
      </c>
    </row>
    <row r="43" spans="1:14" ht="43.2" x14ac:dyDescent="0.3">
      <c r="A43" s="2" t="s">
        <v>486</v>
      </c>
      <c r="B43" s="2" t="s">
        <v>507</v>
      </c>
      <c r="C43" s="2" t="s">
        <v>488</v>
      </c>
      <c r="D43" s="2" t="s">
        <v>120</v>
      </c>
      <c r="E43" s="2" t="s">
        <v>487</v>
      </c>
      <c r="F43" s="2" t="s">
        <v>508</v>
      </c>
      <c r="G43" s="2" t="s">
        <v>509</v>
      </c>
      <c r="H43" s="2" t="s">
        <v>510</v>
      </c>
      <c r="I43" s="2" t="s">
        <v>511</v>
      </c>
      <c r="J43" s="2" t="s">
        <v>512</v>
      </c>
      <c r="K43" s="2" t="s">
        <v>109</v>
      </c>
      <c r="L43" s="2" t="s">
        <v>144</v>
      </c>
      <c r="M43" s="2" t="s">
        <v>500</v>
      </c>
      <c r="N43" s="2" t="s">
        <v>501</v>
      </c>
    </row>
    <row r="47" spans="1:14" ht="24" customHeight="1" x14ac:dyDescent="0.3">
      <c r="A47" s="16" t="s">
        <v>513</v>
      </c>
      <c r="B47" s="13"/>
      <c r="C47" s="13"/>
      <c r="D47" s="13"/>
      <c r="E47" s="13"/>
      <c r="F47" s="13"/>
      <c r="G47" s="13"/>
      <c r="H47" s="13"/>
      <c r="I47" s="13"/>
      <c r="J47" s="13"/>
      <c r="K47" s="13"/>
      <c r="L47" s="13"/>
      <c r="M47" s="13"/>
      <c r="N47" s="13"/>
    </row>
    <row r="48" spans="1:14" ht="28.05" customHeight="1" x14ac:dyDescent="0.3">
      <c r="A48" s="1" t="s">
        <v>514</v>
      </c>
      <c r="B48" s="1" t="s">
        <v>469</v>
      </c>
      <c r="C48" s="1" t="s">
        <v>375</v>
      </c>
      <c r="D48" s="1" t="s">
        <v>177</v>
      </c>
      <c r="E48" s="1" t="s">
        <v>515</v>
      </c>
      <c r="F48" s="1" t="s">
        <v>516</v>
      </c>
      <c r="G48" s="1" t="s">
        <v>271</v>
      </c>
      <c r="H48" s="1" t="s">
        <v>517</v>
      </c>
      <c r="I48" s="1" t="s">
        <v>518</v>
      </c>
      <c r="J48" s="1" t="s">
        <v>519</v>
      </c>
      <c r="K48" s="1" t="s">
        <v>378</v>
      </c>
      <c r="L48" s="1" t="s">
        <v>104</v>
      </c>
      <c r="M48" s="1" t="s">
        <v>380</v>
      </c>
      <c r="N48" s="1" t="s">
        <v>205</v>
      </c>
    </row>
    <row r="49" spans="1:14" x14ac:dyDescent="0.3">
      <c r="A49" s="2" t="s">
        <v>520</v>
      </c>
      <c r="B49" s="2">
        <v>1200</v>
      </c>
      <c r="C49" s="2">
        <v>60</v>
      </c>
      <c r="D49" s="2">
        <v>60</v>
      </c>
      <c r="E49" s="2">
        <v>0</v>
      </c>
      <c r="F49" s="2" t="s">
        <v>42</v>
      </c>
      <c r="G49" s="2" t="s">
        <v>521</v>
      </c>
      <c r="H49" s="2" t="s">
        <v>522</v>
      </c>
      <c r="I49" s="2" t="s">
        <v>523</v>
      </c>
      <c r="J49" s="2" t="s">
        <v>524</v>
      </c>
      <c r="K49" s="2" t="s">
        <v>385</v>
      </c>
      <c r="L49" s="2" t="s">
        <v>463</v>
      </c>
      <c r="M49" s="2" t="s">
        <v>422</v>
      </c>
      <c r="N49" s="2"/>
    </row>
    <row r="50" spans="1:14" x14ac:dyDescent="0.3">
      <c r="A50" s="2" t="s">
        <v>525</v>
      </c>
      <c r="B50" s="2">
        <v>4500</v>
      </c>
      <c r="C50" s="2">
        <v>60</v>
      </c>
      <c r="D50" s="2">
        <v>60</v>
      </c>
      <c r="E50" s="2">
        <v>0</v>
      </c>
      <c r="F50" s="2" t="s">
        <v>42</v>
      </c>
      <c r="G50" s="2" t="s">
        <v>526</v>
      </c>
      <c r="H50" s="2" t="s">
        <v>527</v>
      </c>
      <c r="I50" s="2" t="s">
        <v>528</v>
      </c>
      <c r="J50" s="2" t="s">
        <v>529</v>
      </c>
      <c r="K50" s="2" t="s">
        <v>385</v>
      </c>
      <c r="L50" s="2" t="s">
        <v>530</v>
      </c>
      <c r="M50" s="2" t="s">
        <v>422</v>
      </c>
      <c r="N50" s="2"/>
    </row>
    <row r="51" spans="1:14" ht="28.8" x14ac:dyDescent="0.3">
      <c r="A51" s="2" t="s">
        <v>531</v>
      </c>
      <c r="B51" s="2">
        <v>4850</v>
      </c>
      <c r="C51" s="2">
        <v>100</v>
      </c>
      <c r="D51" s="2">
        <v>98</v>
      </c>
      <c r="E51" s="2">
        <v>2</v>
      </c>
      <c r="F51" s="2" t="s">
        <v>532</v>
      </c>
      <c r="G51" s="2" t="s">
        <v>533</v>
      </c>
      <c r="H51" s="2" t="s">
        <v>534</v>
      </c>
      <c r="I51" s="2" t="s">
        <v>535</v>
      </c>
      <c r="J51" s="2" t="s">
        <v>536</v>
      </c>
      <c r="K51" s="2" t="s">
        <v>171</v>
      </c>
      <c r="L51" s="2" t="s">
        <v>354</v>
      </c>
      <c r="M51" s="2" t="s">
        <v>422</v>
      </c>
      <c r="N51" s="2" t="s">
        <v>537</v>
      </c>
    </row>
    <row r="55" spans="1:14" ht="24" customHeight="1" x14ac:dyDescent="0.3">
      <c r="A55" s="16" t="s">
        <v>538</v>
      </c>
      <c r="B55" s="13"/>
      <c r="C55" s="13"/>
      <c r="D55" s="13"/>
      <c r="E55" s="13"/>
      <c r="F55" s="13"/>
      <c r="G55" s="13"/>
      <c r="H55" s="13"/>
      <c r="I55" s="13"/>
      <c r="J55" s="13"/>
      <c r="K55" s="13"/>
      <c r="L55" s="13"/>
      <c r="M55" s="13"/>
      <c r="N55" s="13"/>
    </row>
    <row r="56" spans="1:14" ht="28.05" customHeight="1" x14ac:dyDescent="0.3">
      <c r="A56" s="1" t="s">
        <v>166</v>
      </c>
      <c r="B56" s="1" t="s">
        <v>167</v>
      </c>
      <c r="C56" s="1" t="s">
        <v>168</v>
      </c>
      <c r="D56" s="1" t="s">
        <v>130</v>
      </c>
      <c r="E56" s="1" t="s">
        <v>100</v>
      </c>
      <c r="F56" s="1" t="s">
        <v>539</v>
      </c>
      <c r="G56" s="1" t="s">
        <v>540</v>
      </c>
      <c r="H56" s="1" t="s">
        <v>541</v>
      </c>
      <c r="I56" s="1" t="s">
        <v>379</v>
      </c>
      <c r="J56" s="1" t="s">
        <v>302</v>
      </c>
      <c r="K56" s="1" t="s">
        <v>6</v>
      </c>
      <c r="L56" s="1" t="s">
        <v>542</v>
      </c>
      <c r="M56" s="1" t="s">
        <v>475</v>
      </c>
      <c r="N56" s="1" t="s">
        <v>105</v>
      </c>
    </row>
    <row r="57" spans="1:14" x14ac:dyDescent="0.3">
      <c r="A57" s="2" t="s">
        <v>543</v>
      </c>
      <c r="B57" s="2">
        <v>1</v>
      </c>
      <c r="C57" s="2">
        <v>1</v>
      </c>
      <c r="D57" s="2">
        <v>1</v>
      </c>
      <c r="E57" s="2" t="s">
        <v>174</v>
      </c>
      <c r="F57" s="2" t="s">
        <v>544</v>
      </c>
      <c r="G57" s="2" t="s">
        <v>545</v>
      </c>
      <c r="H57" s="2" t="s">
        <v>33</v>
      </c>
      <c r="I57" s="2"/>
      <c r="J57" s="2" t="s">
        <v>546</v>
      </c>
      <c r="K57" s="2" t="s">
        <v>547</v>
      </c>
      <c r="L57" s="2" t="s">
        <v>383</v>
      </c>
      <c r="M57" s="2" t="s">
        <v>112</v>
      </c>
      <c r="N57" s="2"/>
    </row>
    <row r="58" spans="1:14" ht="28.8" x14ac:dyDescent="0.3">
      <c r="A58" s="2" t="s">
        <v>548</v>
      </c>
      <c r="B58" s="2">
        <v>1</v>
      </c>
      <c r="C58" s="2">
        <v>1</v>
      </c>
      <c r="D58" s="2">
        <v>1</v>
      </c>
      <c r="E58" s="2" t="s">
        <v>174</v>
      </c>
      <c r="F58" s="2" t="s">
        <v>549</v>
      </c>
      <c r="G58" s="2" t="s">
        <v>176</v>
      </c>
      <c r="H58" s="2" t="s">
        <v>33</v>
      </c>
      <c r="I58" s="2"/>
      <c r="J58" s="2" t="s">
        <v>550</v>
      </c>
      <c r="K58" s="2" t="s">
        <v>547</v>
      </c>
      <c r="L58" s="2" t="s">
        <v>383</v>
      </c>
      <c r="M58" s="2" t="s">
        <v>112</v>
      </c>
      <c r="N58" s="2"/>
    </row>
    <row r="59" spans="1:14" ht="28.8" x14ac:dyDescent="0.3">
      <c r="A59" s="2" t="s">
        <v>551</v>
      </c>
      <c r="B59" s="2">
        <v>1</v>
      </c>
      <c r="C59" s="2">
        <v>1</v>
      </c>
      <c r="D59" s="2">
        <v>1</v>
      </c>
      <c r="E59" s="2" t="s">
        <v>174</v>
      </c>
      <c r="F59" s="2" t="s">
        <v>386</v>
      </c>
      <c r="G59" s="2" t="s">
        <v>183</v>
      </c>
      <c r="H59" s="2" t="s">
        <v>33</v>
      </c>
      <c r="I59" s="2"/>
      <c r="J59" s="2" t="s">
        <v>552</v>
      </c>
      <c r="K59" s="2" t="s">
        <v>547</v>
      </c>
      <c r="L59" s="2" t="s">
        <v>383</v>
      </c>
      <c r="M59" s="2" t="s">
        <v>112</v>
      </c>
      <c r="N59" s="2"/>
    </row>
    <row r="60" spans="1:14" ht="28.8" x14ac:dyDescent="0.3">
      <c r="A60" s="2" t="s">
        <v>553</v>
      </c>
      <c r="B60" s="2">
        <v>1</v>
      </c>
      <c r="C60" s="2">
        <v>1</v>
      </c>
      <c r="D60" s="2">
        <v>1</v>
      </c>
      <c r="E60" s="2" t="s">
        <v>174</v>
      </c>
      <c r="F60" s="2" t="s">
        <v>391</v>
      </c>
      <c r="G60" s="2" t="s">
        <v>554</v>
      </c>
      <c r="H60" s="2" t="s">
        <v>435</v>
      </c>
      <c r="I60" s="2" t="s">
        <v>147</v>
      </c>
      <c r="J60" s="2" t="s">
        <v>555</v>
      </c>
      <c r="K60" s="2" t="s">
        <v>547</v>
      </c>
      <c r="L60" s="2" t="s">
        <v>383</v>
      </c>
      <c r="M60" s="2" t="s">
        <v>112</v>
      </c>
      <c r="N60" s="2"/>
    </row>
    <row r="61" spans="1:14" x14ac:dyDescent="0.3">
      <c r="A61" s="2" t="s">
        <v>556</v>
      </c>
      <c r="B61" s="2">
        <v>1</v>
      </c>
      <c r="C61" s="2">
        <v>1</v>
      </c>
      <c r="D61" s="2">
        <v>1</v>
      </c>
      <c r="E61" s="2" t="s">
        <v>174</v>
      </c>
      <c r="F61" s="2" t="s">
        <v>557</v>
      </c>
      <c r="G61" s="2" t="s">
        <v>558</v>
      </c>
      <c r="H61" s="2" t="s">
        <v>559</v>
      </c>
      <c r="I61" s="2" t="s">
        <v>157</v>
      </c>
      <c r="J61" s="2" t="s">
        <v>560</v>
      </c>
      <c r="K61" s="2" t="s">
        <v>547</v>
      </c>
      <c r="L61" s="2" t="s">
        <v>383</v>
      </c>
      <c r="M61" s="2" t="s">
        <v>112</v>
      </c>
      <c r="N61" s="2"/>
    </row>
    <row r="62" spans="1:14" ht="28.8" x14ac:dyDescent="0.3">
      <c r="A62" s="2" t="s">
        <v>561</v>
      </c>
      <c r="B62" s="2">
        <v>1</v>
      </c>
      <c r="C62" s="2">
        <v>1</v>
      </c>
      <c r="D62" s="2">
        <v>1</v>
      </c>
      <c r="E62" s="2" t="s">
        <v>174</v>
      </c>
      <c r="F62" s="2" t="s">
        <v>562</v>
      </c>
      <c r="G62" s="2" t="s">
        <v>563</v>
      </c>
      <c r="H62" s="2" t="s">
        <v>33</v>
      </c>
      <c r="I62" s="2" t="s">
        <v>140</v>
      </c>
      <c r="J62" s="2" t="s">
        <v>564</v>
      </c>
      <c r="K62" s="2" t="s">
        <v>547</v>
      </c>
      <c r="L62" s="2" t="s">
        <v>383</v>
      </c>
      <c r="M62" s="2" t="s">
        <v>112</v>
      </c>
      <c r="N62" s="2"/>
    </row>
    <row r="63" spans="1:14" x14ac:dyDescent="0.3">
      <c r="A63" s="2" t="s">
        <v>90</v>
      </c>
      <c r="B63" s="2">
        <v>1</v>
      </c>
      <c r="C63" s="2">
        <v>1</v>
      </c>
      <c r="D63" s="2">
        <v>1</v>
      </c>
      <c r="E63" s="2" t="s">
        <v>174</v>
      </c>
      <c r="F63" s="2" t="s">
        <v>565</v>
      </c>
      <c r="G63" s="2" t="s">
        <v>566</v>
      </c>
      <c r="H63" s="2" t="s">
        <v>567</v>
      </c>
      <c r="I63" s="2" t="s">
        <v>568</v>
      </c>
      <c r="J63" s="2" t="s">
        <v>569</v>
      </c>
      <c r="K63" s="2" t="s">
        <v>547</v>
      </c>
      <c r="L63" s="2" t="s">
        <v>383</v>
      </c>
      <c r="M63" s="2" t="s">
        <v>112</v>
      </c>
      <c r="N63" s="2"/>
    </row>
    <row r="64" spans="1:14" x14ac:dyDescent="0.3">
      <c r="A64" s="2" t="s">
        <v>570</v>
      </c>
      <c r="B64" s="2">
        <v>1</v>
      </c>
      <c r="C64" s="2">
        <v>1</v>
      </c>
      <c r="D64" s="2">
        <v>1</v>
      </c>
      <c r="E64" s="2" t="s">
        <v>174</v>
      </c>
      <c r="F64" s="2" t="s">
        <v>571</v>
      </c>
      <c r="G64" s="2" t="s">
        <v>572</v>
      </c>
      <c r="H64" s="2" t="s">
        <v>33</v>
      </c>
      <c r="I64" s="2" t="s">
        <v>568</v>
      </c>
      <c r="J64" s="2" t="s">
        <v>573</v>
      </c>
      <c r="K64" s="2" t="s">
        <v>547</v>
      </c>
      <c r="L64" s="2" t="s">
        <v>383</v>
      </c>
      <c r="M64" s="2" t="s">
        <v>112</v>
      </c>
      <c r="N64" s="2"/>
    </row>
    <row r="65" spans="1:14" x14ac:dyDescent="0.3">
      <c r="A65" s="2" t="s">
        <v>193</v>
      </c>
      <c r="B65" s="2">
        <v>1</v>
      </c>
      <c r="C65" s="2">
        <v>1</v>
      </c>
      <c r="D65" s="2">
        <v>1</v>
      </c>
      <c r="E65" s="2" t="s">
        <v>174</v>
      </c>
      <c r="F65" s="2" t="s">
        <v>574</v>
      </c>
      <c r="G65" s="2" t="s">
        <v>196</v>
      </c>
      <c r="H65" s="2" t="s">
        <v>33</v>
      </c>
      <c r="I65" s="2"/>
      <c r="J65" s="2" t="s">
        <v>575</v>
      </c>
      <c r="K65" s="2" t="s">
        <v>547</v>
      </c>
      <c r="L65" s="2" t="s">
        <v>383</v>
      </c>
      <c r="M65" s="2" t="s">
        <v>112</v>
      </c>
      <c r="N65" s="2"/>
    </row>
    <row r="66" spans="1:14" ht="28.8" x14ac:dyDescent="0.3">
      <c r="A66" s="2" t="s">
        <v>576</v>
      </c>
      <c r="B66" s="2">
        <v>1</v>
      </c>
      <c r="C66" s="2">
        <v>1</v>
      </c>
      <c r="D66" s="2">
        <v>0</v>
      </c>
      <c r="E66" s="2" t="s">
        <v>179</v>
      </c>
      <c r="F66" s="2" t="s">
        <v>577</v>
      </c>
      <c r="G66" s="2" t="s">
        <v>578</v>
      </c>
      <c r="H66" s="2" t="s">
        <v>33</v>
      </c>
      <c r="I66" s="2" t="s">
        <v>579</v>
      </c>
      <c r="J66" s="2" t="s">
        <v>546</v>
      </c>
      <c r="K66" s="2" t="s">
        <v>547</v>
      </c>
      <c r="L66" s="2" t="s">
        <v>500</v>
      </c>
      <c r="M66" s="2" t="s">
        <v>112</v>
      </c>
      <c r="N66" s="2" t="s">
        <v>580</v>
      </c>
    </row>
    <row r="68" spans="1:14" ht="24" customHeight="1" x14ac:dyDescent="0.3">
      <c r="A68" s="16" t="s">
        <v>581</v>
      </c>
      <c r="B68" s="13"/>
      <c r="C68" s="13"/>
      <c r="D68" s="13"/>
      <c r="E68" s="13"/>
      <c r="F68" s="13"/>
      <c r="G68" s="13"/>
      <c r="H68" s="13"/>
      <c r="I68" s="13"/>
      <c r="J68" s="13"/>
      <c r="K68" s="13"/>
      <c r="L68" s="13"/>
      <c r="M68" s="13"/>
      <c r="N68" s="13"/>
    </row>
    <row r="69" spans="1:14" ht="216" x14ac:dyDescent="0.3">
      <c r="A69" s="2" t="s">
        <v>582</v>
      </c>
      <c r="B69" s="2" t="s">
        <v>583</v>
      </c>
      <c r="C69" s="2" t="s">
        <v>584</v>
      </c>
      <c r="D69" s="2" t="s">
        <v>585</v>
      </c>
      <c r="E69" s="2" t="s">
        <v>365</v>
      </c>
      <c r="F69" s="2" t="s">
        <v>366</v>
      </c>
      <c r="G69" s="2" t="s">
        <v>218</v>
      </c>
      <c r="H69" s="2" t="s">
        <v>586</v>
      </c>
      <c r="I69" s="2" t="s">
        <v>5</v>
      </c>
      <c r="J69" s="2" t="s">
        <v>367</v>
      </c>
      <c r="K69" s="2" t="s">
        <v>6</v>
      </c>
      <c r="L69" s="2" t="s">
        <v>18</v>
      </c>
      <c r="M69" s="2" t="s">
        <v>222</v>
      </c>
      <c r="N69" s="2" t="s">
        <v>587</v>
      </c>
    </row>
  </sheetData>
  <mergeCells count="10">
    <mergeCell ref="A2:N2"/>
    <mergeCell ref="A29:N29"/>
    <mergeCell ref="A68:N68"/>
    <mergeCell ref="A47:N47"/>
    <mergeCell ref="A1:N1"/>
    <mergeCell ref="A17:N17"/>
    <mergeCell ref="A8:N8"/>
    <mergeCell ref="A39:N39"/>
    <mergeCell ref="A55:N55"/>
    <mergeCell ref="A4:N4"/>
  </mergeCells>
  <pageMargins left="0.25" right="0.25" top="0.5" bottom="0.5" header="0.5" footer="0.5"/>
  <pageSetup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Sample Compliance Officer</vt:lpstr>
      <vt:lpstr>Sample Management Board</vt:lpstr>
      <vt:lpstr>Verification Framework</vt:lpstr>
      <vt:lpstr>Classification</vt:lpstr>
      <vt:lpstr>Report Mappinhg</vt:lpstr>
      <vt:lpstr>Report Data</vt:lpstr>
      <vt:lpstr>Results Engine</vt:lpstr>
      <vt:lpstr>Sample Auditor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Shipra Patel</cp:lastModifiedBy>
  <dcterms:created xsi:type="dcterms:W3CDTF">2026-09-17T07:13:31Z</dcterms:created>
  <dcterms:modified xsi:type="dcterms:W3CDTF">2026-09-18T05:30:30Z</dcterms:modified>
</cp:coreProperties>
</file>